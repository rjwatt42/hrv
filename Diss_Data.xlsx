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/>
  <mc:AlternateContent xmlns:mc="http://schemas.openxmlformats.org/markup-compatibility/2006">
    <mc:Choice Requires="x15">
      <x15ac:absPath xmlns:x15ac="http://schemas.microsoft.com/office/spreadsheetml/2010/11/ac" url="/Users/rogerwatt/Documents/GitHub/hr/"/>
    </mc:Choice>
  </mc:AlternateContent>
  <xr:revisionPtr revIDLastSave="0" documentId="13_ncr:1_{5A74DED3-0F1E-FB4B-9517-57D2C7B10351}" xr6:coauthVersionLast="47" xr6:coauthVersionMax="47" xr10:uidLastSave="{00000000-0000-0000-0000-000000000000}"/>
  <bookViews>
    <workbookView xWindow="0" yWindow="560" windowWidth="25600" windowHeight="16080" activeTab="1" xr2:uid="{00000000-000D-0000-FFFF-FFFF00000000}"/>
  </bookViews>
  <sheets>
    <sheet name="final_data" sheetId="1" r:id="rId1"/>
    <sheet name="MT_cat" sheetId="2" r:id="rId2"/>
    <sheet name="MT_MutateC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7" i="3" l="1"/>
  <c r="H88" i="3"/>
  <c r="H81" i="3"/>
  <c r="H82" i="3"/>
  <c r="H83" i="3"/>
  <c r="H78" i="3"/>
  <c r="H73" i="3"/>
  <c r="H74" i="3"/>
  <c r="H75" i="3"/>
  <c r="H76" i="3"/>
  <c r="H66" i="3"/>
  <c r="H67" i="3"/>
  <c r="H63" i="3"/>
  <c r="H60" i="3"/>
  <c r="H61" i="3"/>
  <c r="H56" i="3"/>
  <c r="H57" i="3"/>
  <c r="H58" i="3"/>
  <c r="H54" i="3"/>
  <c r="H49" i="3"/>
  <c r="H50" i="3"/>
  <c r="H51" i="3"/>
  <c r="H52" i="3"/>
  <c r="H53" i="3"/>
  <c r="H45" i="3"/>
  <c r="H46" i="3"/>
  <c r="H40" i="3"/>
  <c r="H41" i="3"/>
  <c r="H42" i="3"/>
  <c r="H43" i="3"/>
  <c r="H37" i="3"/>
  <c r="H34" i="3"/>
  <c r="H28" i="3"/>
  <c r="H29" i="3"/>
  <c r="H30" i="3"/>
  <c r="H31" i="3"/>
  <c r="H23" i="3"/>
  <c r="H24" i="3"/>
  <c r="H25" i="3"/>
  <c r="H17" i="3"/>
  <c r="H18" i="3"/>
  <c r="H19" i="3"/>
  <c r="H20" i="3"/>
  <c r="H14" i="3"/>
  <c r="H11" i="3"/>
  <c r="H4" i="3"/>
  <c r="H5" i="3"/>
  <c r="H6" i="3"/>
  <c r="H7" i="3"/>
  <c r="H89" i="3"/>
  <c r="H86" i="3"/>
  <c r="H85" i="3"/>
  <c r="H84" i="3"/>
  <c r="H80" i="3"/>
  <c r="H79" i="3"/>
  <c r="H77" i="3"/>
  <c r="H69" i="3"/>
  <c r="H68" i="3"/>
  <c r="H65" i="3"/>
  <c r="H64" i="3"/>
  <c r="H62" i="3"/>
  <c r="H59" i="3"/>
  <c r="H55" i="3"/>
  <c r="H48" i="3"/>
  <c r="H47" i="3"/>
  <c r="H44" i="3"/>
  <c r="H39" i="3"/>
  <c r="H38" i="3"/>
  <c r="H36" i="3"/>
  <c r="H35" i="3"/>
  <c r="H33" i="3"/>
  <c r="H32" i="3"/>
  <c r="H27" i="3"/>
  <c r="H26" i="3"/>
  <c r="H22" i="3"/>
  <c r="H21" i="3"/>
  <c r="H16" i="3"/>
  <c r="H15" i="3"/>
  <c r="H13" i="3"/>
  <c r="H12" i="3"/>
  <c r="H10" i="3"/>
  <c r="H9" i="3"/>
  <c r="H8" i="3"/>
  <c r="H3" i="3"/>
  <c r="H2" i="3"/>
  <c r="K39" i="2"/>
  <c r="K38" i="2"/>
  <c r="K37" i="2"/>
  <c r="K36" i="2"/>
  <c r="K35" i="2"/>
  <c r="K34" i="2"/>
  <c r="K33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H37" i="1"/>
  <c r="H38" i="1"/>
  <c r="H39" i="1"/>
  <c r="H20" i="1"/>
  <c r="H21" i="1"/>
  <c r="H22" i="1"/>
  <c r="H23" i="1"/>
  <c r="H24" i="1"/>
  <c r="H25" i="1"/>
  <c r="H26" i="1"/>
  <c r="H27" i="1"/>
  <c r="H28" i="1"/>
  <c r="H29" i="1"/>
  <c r="H30" i="1"/>
  <c r="H31" i="1"/>
  <c r="H33" i="1"/>
  <c r="H34" i="1"/>
  <c r="H35" i="1"/>
  <c r="H36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3" i="1"/>
  <c r="H4" i="1"/>
  <c r="H2" i="1"/>
</calcChain>
</file>

<file path=xl/sharedStrings.xml><?xml version="1.0" encoding="utf-8"?>
<sst xmlns="http://schemas.openxmlformats.org/spreadsheetml/2006/main" count="390" uniqueCount="37">
  <si>
    <t>Participant ID</t>
  </si>
  <si>
    <t>AQ50_Score</t>
  </si>
  <si>
    <t>MT_Score</t>
  </si>
  <si>
    <t>MT_Category</t>
  </si>
  <si>
    <t>EFT_score</t>
  </si>
  <si>
    <t>HRV_AllStimData</t>
  </si>
  <si>
    <t>HRV_AllEventData</t>
  </si>
  <si>
    <t>HRV_Final</t>
  </si>
  <si>
    <t>None</t>
  </si>
  <si>
    <t>trained, performer, attend, rehearsal, theory</t>
  </si>
  <si>
    <t>performer</t>
  </si>
  <si>
    <t>NA</t>
  </si>
  <si>
    <t>N/A</t>
  </si>
  <si>
    <t xml:space="preserve">trained, performer </t>
  </si>
  <si>
    <t>trained, theory</t>
  </si>
  <si>
    <t>attend</t>
  </si>
  <si>
    <t>trained, performer, attend, theory</t>
  </si>
  <si>
    <t>attend, rehersal</t>
  </si>
  <si>
    <t>training, theory</t>
  </si>
  <si>
    <t>trained, attend, theory</t>
  </si>
  <si>
    <t xml:space="preserve">trained, attend </t>
  </si>
  <si>
    <t>trained, performer, rehearsal, theory</t>
  </si>
  <si>
    <t>trained, performer, theory</t>
  </si>
  <si>
    <t>rehersal</t>
  </si>
  <si>
    <t>trained, performer, attend</t>
  </si>
  <si>
    <t>attend, theory</t>
  </si>
  <si>
    <t>Trained</t>
  </si>
  <si>
    <t>Perfomer</t>
  </si>
  <si>
    <t>Listener</t>
  </si>
  <si>
    <t>Rehersal</t>
  </si>
  <si>
    <t>Theorist</t>
  </si>
  <si>
    <t>no</t>
  </si>
  <si>
    <t>yes</t>
  </si>
  <si>
    <t xml:space="preserve">yes </t>
  </si>
  <si>
    <t>trained</t>
  </si>
  <si>
    <t>rehearsal</t>
  </si>
  <si>
    <t>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</si>
</sst>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1"/>
      <color rgb="FF444444"/>
      <name val="Aptos Narrow"/>
      <scheme val="minor"/>
    </font>
    <font>
      <sz val="12"/>
      <color rgb="FF000000"/>
      <name val="Calibri"/>
      <family val="2"/>
    </font>
    <font>
      <sz val="11"/>
      <color rgb="FF444444"/>
      <name val="Aptos Narrow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4" fillId="0" borderId="0" xfId="0" applyNumberFormat="1" applyFont="1"/>
    <xf numFmtId="2" fontId="3" fillId="0" borderId="0" xfId="0" applyNumberFormat="1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2" fontId="3" fillId="2" borderId="0" xfId="0" applyNumberFormat="1" applyFont="1" applyFill="1"/>
    <xf numFmtId="0" fontId="0" fillId="2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  <xf numFmtId="2" fontId="0" fillId="0" borderId="0" xfId="0" applyNumberFormat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0" borderId="0" xfId="0" applyFont="1"/>
    <xf numFmtId="0" fontId="8" fillId="2" borderId="0" xfId="0" applyFont="1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opLeftCell="A2" zoomScale="130" zoomScaleNormal="130" workbookViewId="0">
      <selection activeCell="K32" sqref="K32"/>
    </sheetView>
  </sheetViews>
  <sheetFormatPr baseColWidth="10" defaultColWidth="8.83203125" defaultRowHeight="15" x14ac:dyDescent="0.2"/>
  <cols>
    <col min="1" max="1" width="13.5" bestFit="1" customWidth="1"/>
    <col min="2" max="2" width="12.1640625" bestFit="1" customWidth="1"/>
    <col min="3" max="3" width="9.6640625" bestFit="1" customWidth="1"/>
    <col min="4" max="4" width="39.5" bestFit="1" customWidth="1"/>
    <col min="5" max="5" width="10" style="15" bestFit="1" customWidth="1"/>
    <col min="6" max="6" width="16.5" bestFit="1" customWidth="1"/>
    <col min="7" max="7" width="17.5" bestFit="1" customWidth="1"/>
    <col min="8" max="8" width="13" bestFit="1" customWidth="1"/>
  </cols>
  <sheetData>
    <row r="1" spans="1:8" s="3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</row>
    <row r="2" spans="1:8" ht="16" x14ac:dyDescent="0.2">
      <c r="A2" s="4">
        <v>11154421</v>
      </c>
      <c r="B2" s="4">
        <v>19</v>
      </c>
      <c r="C2" s="4">
        <v>0</v>
      </c>
      <c r="D2" s="4" t="s">
        <v>8</v>
      </c>
      <c r="E2" s="6">
        <v>65.25</v>
      </c>
      <c r="F2" s="4">
        <v>-337.92106239999998</v>
      </c>
      <c r="G2" s="19">
        <v>1513.4608800000001</v>
      </c>
      <c r="H2">
        <f>G2-F2</f>
        <v>1851.3819424000001</v>
      </c>
    </row>
    <row r="3" spans="1:8" ht="16" x14ac:dyDescent="0.2">
      <c r="A3" s="4">
        <v>11155314</v>
      </c>
      <c r="B3" s="4">
        <v>15</v>
      </c>
      <c r="C3" s="4">
        <v>0</v>
      </c>
      <c r="D3" s="4" t="s">
        <v>8</v>
      </c>
      <c r="E3" s="7">
        <v>57.58</v>
      </c>
      <c r="F3" s="4">
        <v>-2185.292097</v>
      </c>
      <c r="G3" s="19">
        <v>879.284582</v>
      </c>
      <c r="H3">
        <f t="shared" ref="H3:H39" si="0">G3-F3</f>
        <v>3064.5766789999998</v>
      </c>
    </row>
    <row r="4" spans="1:8" ht="16" x14ac:dyDescent="0.2">
      <c r="A4" s="4">
        <v>11159360</v>
      </c>
      <c r="B4" s="4">
        <v>26</v>
      </c>
      <c r="C4" s="4">
        <v>5</v>
      </c>
      <c r="D4" s="4" t="s">
        <v>9</v>
      </c>
      <c r="E4" s="7">
        <v>51.75</v>
      </c>
      <c r="F4" s="4">
        <v>-7680.9948050000003</v>
      </c>
      <c r="G4" s="19">
        <v>8205.5227699999996</v>
      </c>
      <c r="H4">
        <f t="shared" si="0"/>
        <v>15886.517575</v>
      </c>
    </row>
    <row r="5" spans="1:8" ht="16" x14ac:dyDescent="0.2">
      <c r="A5" s="5">
        <v>11166016</v>
      </c>
      <c r="B5" s="4">
        <v>40</v>
      </c>
      <c r="C5" s="4">
        <v>1</v>
      </c>
      <c r="D5" s="4" t="s">
        <v>10</v>
      </c>
      <c r="E5" s="6">
        <v>31.08</v>
      </c>
      <c r="F5" s="4">
        <v>940.81039559999999</v>
      </c>
      <c r="G5" s="19">
        <v>-555.10441000000003</v>
      </c>
      <c r="H5">
        <f t="shared" si="0"/>
        <v>-1495.9148055999999</v>
      </c>
    </row>
    <row r="6" spans="1:8" s="11" customFormat="1" ht="16" x14ac:dyDescent="0.2">
      <c r="A6" s="8">
        <v>11166531</v>
      </c>
      <c r="B6" s="8">
        <v>26</v>
      </c>
      <c r="C6" s="9" t="s">
        <v>11</v>
      </c>
      <c r="D6" s="9" t="s">
        <v>12</v>
      </c>
      <c r="E6" s="10">
        <v>96.83</v>
      </c>
      <c r="F6" s="8">
        <v>-840.44423110000002</v>
      </c>
      <c r="G6" s="20">
        <v>670.41220999999996</v>
      </c>
      <c r="H6" s="11">
        <f t="shared" si="0"/>
        <v>1510.8564411</v>
      </c>
    </row>
    <row r="7" spans="1:8" ht="16" x14ac:dyDescent="0.2">
      <c r="A7" s="4">
        <v>11171762</v>
      </c>
      <c r="B7" s="4">
        <v>23</v>
      </c>
      <c r="C7" s="4">
        <v>2</v>
      </c>
      <c r="D7" s="4" t="s">
        <v>13</v>
      </c>
      <c r="E7" s="7">
        <v>31.67</v>
      </c>
      <c r="F7" s="4">
        <v>-1840.1285379999999</v>
      </c>
      <c r="G7" s="19">
        <v>1129.8261199999999</v>
      </c>
      <c r="H7">
        <f t="shared" si="0"/>
        <v>2969.9546579999997</v>
      </c>
    </row>
    <row r="8" spans="1:8" ht="16" x14ac:dyDescent="0.2">
      <c r="A8" s="5">
        <v>11175804</v>
      </c>
      <c r="B8" s="4">
        <v>15</v>
      </c>
      <c r="C8" s="4">
        <v>0</v>
      </c>
      <c r="D8" s="4" t="s">
        <v>8</v>
      </c>
      <c r="E8" s="7">
        <v>52.166666666666664</v>
      </c>
      <c r="F8" s="4">
        <v>290.52997149999999</v>
      </c>
      <c r="G8" s="19">
        <v>-560.64032999999995</v>
      </c>
      <c r="H8">
        <f t="shared" si="0"/>
        <v>-851.17030149999994</v>
      </c>
    </row>
    <row r="9" spans="1:8" ht="16" x14ac:dyDescent="0.2">
      <c r="A9" s="5">
        <v>11176497</v>
      </c>
      <c r="B9" s="4">
        <v>14</v>
      </c>
      <c r="C9" s="4">
        <v>2</v>
      </c>
      <c r="D9" s="4" t="s">
        <v>14</v>
      </c>
      <c r="E9" s="7">
        <v>13.416666666666666</v>
      </c>
      <c r="F9" s="4">
        <v>-258.86363260000002</v>
      </c>
      <c r="G9" s="19">
        <v>242.65804199999999</v>
      </c>
      <c r="H9">
        <f t="shared" si="0"/>
        <v>501.52167459999998</v>
      </c>
    </row>
    <row r="10" spans="1:8" ht="16" x14ac:dyDescent="0.2">
      <c r="A10" s="4">
        <v>11177844</v>
      </c>
      <c r="B10" s="4">
        <v>26</v>
      </c>
      <c r="C10" s="4">
        <v>0</v>
      </c>
      <c r="D10" s="4" t="s">
        <v>8</v>
      </c>
      <c r="E10" s="7">
        <v>77.083333333333329</v>
      </c>
      <c r="F10" s="4">
        <v>-1643.2816539999999</v>
      </c>
      <c r="G10" s="19">
        <v>-1863.7967000000001</v>
      </c>
      <c r="H10">
        <f t="shared" si="0"/>
        <v>-220.51504600000021</v>
      </c>
    </row>
    <row r="11" spans="1:8" ht="16" x14ac:dyDescent="0.2">
      <c r="A11" s="5">
        <v>11190614</v>
      </c>
      <c r="B11" s="4">
        <v>16</v>
      </c>
      <c r="C11" s="4">
        <v>5</v>
      </c>
      <c r="D11" s="4" t="s">
        <v>9</v>
      </c>
      <c r="E11" s="7">
        <v>77.833333333333329</v>
      </c>
      <c r="F11" s="4">
        <v>-721.03052249999996</v>
      </c>
      <c r="G11" s="19">
        <v>-2908.9847</v>
      </c>
      <c r="H11">
        <f t="shared" si="0"/>
        <v>-2187.9541774999998</v>
      </c>
    </row>
    <row r="12" spans="1:8" ht="16" x14ac:dyDescent="0.2">
      <c r="A12" s="4">
        <v>11192281</v>
      </c>
      <c r="B12" s="12">
        <v>8</v>
      </c>
      <c r="C12" s="13">
        <v>1</v>
      </c>
      <c r="D12" s="4" t="s">
        <v>15</v>
      </c>
      <c r="E12" s="7">
        <v>23</v>
      </c>
      <c r="F12" s="4">
        <v>8925.5282349999998</v>
      </c>
      <c r="G12" s="19">
        <v>-12856.09</v>
      </c>
      <c r="H12">
        <f t="shared" si="0"/>
        <v>-21781.618235000002</v>
      </c>
    </row>
    <row r="13" spans="1:8" ht="16" x14ac:dyDescent="0.2">
      <c r="A13" s="4">
        <v>11192680</v>
      </c>
      <c r="B13" s="12">
        <v>26</v>
      </c>
      <c r="C13" s="13">
        <v>4</v>
      </c>
      <c r="D13" s="4" t="s">
        <v>16</v>
      </c>
      <c r="E13" s="7">
        <v>23.083333333333332</v>
      </c>
      <c r="F13" s="4">
        <v>-2026.6985079999999</v>
      </c>
      <c r="G13" s="19">
        <v>-506.29122999999998</v>
      </c>
      <c r="H13">
        <f t="shared" si="0"/>
        <v>1520.4072779999999</v>
      </c>
    </row>
    <row r="14" spans="1:8" ht="16" x14ac:dyDescent="0.2">
      <c r="A14" s="5">
        <v>11193737</v>
      </c>
      <c r="B14" s="12">
        <v>15</v>
      </c>
      <c r="C14" s="13">
        <v>1</v>
      </c>
      <c r="D14" s="4" t="s">
        <v>15</v>
      </c>
      <c r="E14" s="7">
        <v>57.916666666666664</v>
      </c>
      <c r="F14" s="4">
        <v>518.51364179999996</v>
      </c>
      <c r="G14" s="19">
        <v>-1920.4208000000001</v>
      </c>
      <c r="H14">
        <f t="shared" si="0"/>
        <v>-2438.9344418000001</v>
      </c>
    </row>
    <row r="15" spans="1:8" ht="16" x14ac:dyDescent="0.2">
      <c r="A15" s="5">
        <v>11195915</v>
      </c>
      <c r="B15" s="12">
        <v>26</v>
      </c>
      <c r="C15" s="13">
        <v>5</v>
      </c>
      <c r="D15" s="14" t="s">
        <v>9</v>
      </c>
      <c r="E15" s="7">
        <v>12.5</v>
      </c>
      <c r="F15" s="4">
        <v>-410.90039539999998</v>
      </c>
      <c r="G15" s="19">
        <v>-924.32836999999995</v>
      </c>
      <c r="H15">
        <f t="shared" si="0"/>
        <v>-513.42797459999997</v>
      </c>
    </row>
    <row r="16" spans="1:8" s="11" customFormat="1" ht="16" x14ac:dyDescent="0.2">
      <c r="A16" s="8">
        <v>11197553</v>
      </c>
      <c r="B16" s="22">
        <v>29</v>
      </c>
      <c r="C16" s="9" t="s">
        <v>11</v>
      </c>
      <c r="D16" s="9" t="s">
        <v>12</v>
      </c>
      <c r="E16" s="10">
        <v>6</v>
      </c>
      <c r="F16" s="8">
        <v>-67.008467179999997</v>
      </c>
      <c r="G16" s="20">
        <v>-734.87307999999996</v>
      </c>
      <c r="H16" s="11">
        <f t="shared" si="0"/>
        <v>-667.86461281999993</v>
      </c>
    </row>
    <row r="17" spans="1:8" ht="16" x14ac:dyDescent="0.2">
      <c r="A17" s="5">
        <v>11203326</v>
      </c>
      <c r="B17" s="12">
        <v>17</v>
      </c>
      <c r="C17" s="4">
        <v>2</v>
      </c>
      <c r="D17" s="4" t="s">
        <v>17</v>
      </c>
      <c r="E17" s="7">
        <v>117.58333333333333</v>
      </c>
      <c r="F17" s="4">
        <v>-396.9232586</v>
      </c>
      <c r="G17" s="19">
        <v>1888.44822</v>
      </c>
      <c r="H17">
        <f t="shared" si="0"/>
        <v>2285.3714786</v>
      </c>
    </row>
    <row r="18" spans="1:8" ht="16" x14ac:dyDescent="0.2">
      <c r="A18" s="4">
        <v>11204166</v>
      </c>
      <c r="B18" s="12">
        <v>22</v>
      </c>
      <c r="C18" s="13">
        <v>1</v>
      </c>
      <c r="D18" s="4" t="s">
        <v>15</v>
      </c>
      <c r="E18" s="7">
        <v>86.833333333333329</v>
      </c>
      <c r="F18" s="4">
        <v>-1716.06483</v>
      </c>
      <c r="G18" s="19">
        <v>712.952403</v>
      </c>
      <c r="H18">
        <f t="shared" si="0"/>
        <v>2429.017233</v>
      </c>
    </row>
    <row r="19" spans="1:8" ht="16" x14ac:dyDescent="0.2">
      <c r="A19" s="4">
        <v>11208967</v>
      </c>
      <c r="B19" s="12">
        <v>20</v>
      </c>
      <c r="C19" s="13">
        <v>2</v>
      </c>
      <c r="D19" s="4" t="s">
        <v>18</v>
      </c>
      <c r="E19" s="7">
        <v>38.166666666666664</v>
      </c>
      <c r="F19" s="4">
        <v>-706.48636699999997</v>
      </c>
      <c r="G19" s="19">
        <v>83.183874799999998</v>
      </c>
      <c r="H19">
        <f t="shared" si="0"/>
        <v>789.67024179999999</v>
      </c>
    </row>
    <row r="20" spans="1:8" ht="16" x14ac:dyDescent="0.2">
      <c r="A20" s="4">
        <v>11209766</v>
      </c>
      <c r="B20" s="12">
        <v>23</v>
      </c>
      <c r="C20" s="13">
        <v>1</v>
      </c>
      <c r="D20" s="4" t="s">
        <v>10</v>
      </c>
      <c r="E20" s="7">
        <v>12.5</v>
      </c>
      <c r="F20" s="4">
        <v>-902.95852100000002</v>
      </c>
      <c r="G20" s="19">
        <v>2505.19499</v>
      </c>
      <c r="H20">
        <f t="shared" si="0"/>
        <v>3408.153511</v>
      </c>
    </row>
    <row r="21" spans="1:8" ht="16" x14ac:dyDescent="0.2">
      <c r="A21" s="4">
        <v>11210199</v>
      </c>
      <c r="B21" s="12">
        <v>11</v>
      </c>
      <c r="C21" s="13">
        <v>5</v>
      </c>
      <c r="D21" s="4" t="s">
        <v>9</v>
      </c>
      <c r="E21" s="7">
        <v>41.75</v>
      </c>
      <c r="F21" s="4">
        <v>1336.3227099999999</v>
      </c>
      <c r="G21" s="19">
        <v>-937.98341000000005</v>
      </c>
      <c r="H21">
        <f t="shared" si="0"/>
        <v>-2274.3061200000002</v>
      </c>
    </row>
    <row r="22" spans="1:8" ht="16" x14ac:dyDescent="0.2">
      <c r="A22" s="4">
        <v>11210883</v>
      </c>
      <c r="B22" s="12">
        <v>22</v>
      </c>
      <c r="C22" s="13">
        <v>3</v>
      </c>
      <c r="D22" s="14" t="s">
        <v>19</v>
      </c>
      <c r="E22" s="7">
        <v>87.5</v>
      </c>
      <c r="F22" s="4">
        <v>-3470.2683200000001</v>
      </c>
      <c r="G22" s="19">
        <v>195.039074</v>
      </c>
      <c r="H22">
        <f t="shared" si="0"/>
        <v>3665.3073939999999</v>
      </c>
    </row>
    <row r="23" spans="1:8" ht="16" x14ac:dyDescent="0.2">
      <c r="A23" s="4">
        <v>11218007</v>
      </c>
      <c r="B23" s="12">
        <v>27</v>
      </c>
      <c r="C23" s="13">
        <v>0</v>
      </c>
      <c r="D23" s="4" t="s">
        <v>8</v>
      </c>
      <c r="E23" s="7">
        <v>63.083333333333336</v>
      </c>
      <c r="F23" s="4">
        <v>599.69315029999996</v>
      </c>
      <c r="G23" s="19">
        <v>-1742.8517999999999</v>
      </c>
      <c r="H23">
        <f t="shared" si="0"/>
        <v>-2342.5449503</v>
      </c>
    </row>
    <row r="24" spans="1:8" ht="16" x14ac:dyDescent="0.2">
      <c r="A24" s="4">
        <v>11218900</v>
      </c>
      <c r="B24" s="12">
        <v>17</v>
      </c>
      <c r="C24" s="13">
        <v>5</v>
      </c>
      <c r="D24" s="4" t="s">
        <v>9</v>
      </c>
      <c r="E24" s="7">
        <v>24.333333333333332</v>
      </c>
      <c r="F24" s="4">
        <v>-995.85856320000005</v>
      </c>
      <c r="G24" s="19">
        <v>1494.8480199999999</v>
      </c>
      <c r="H24">
        <f t="shared" si="0"/>
        <v>2490.7065831999998</v>
      </c>
    </row>
    <row r="25" spans="1:8" ht="16" x14ac:dyDescent="0.2">
      <c r="A25" s="4">
        <v>11220085</v>
      </c>
      <c r="B25" s="12">
        <v>22</v>
      </c>
      <c r="C25" s="13">
        <v>2</v>
      </c>
      <c r="D25" s="4" t="s">
        <v>20</v>
      </c>
      <c r="E25" s="7">
        <v>101.33333333333333</v>
      </c>
      <c r="F25" s="4">
        <v>784.62088289999997</v>
      </c>
      <c r="G25" s="19">
        <v>-32.201084000000002</v>
      </c>
      <c r="H25">
        <f t="shared" si="0"/>
        <v>-816.82196690000001</v>
      </c>
    </row>
    <row r="26" spans="1:8" ht="16" x14ac:dyDescent="0.2">
      <c r="A26" s="4">
        <v>11225336</v>
      </c>
      <c r="B26" s="12">
        <v>31</v>
      </c>
      <c r="C26" s="13">
        <v>4</v>
      </c>
      <c r="D26" s="14" t="s">
        <v>21</v>
      </c>
      <c r="E26" s="7">
        <v>55.25</v>
      </c>
      <c r="F26" s="4">
        <v>-397.46863059999998</v>
      </c>
      <c r="G26" s="19">
        <v>5430.82017</v>
      </c>
      <c r="H26">
        <f t="shared" si="0"/>
        <v>5828.2888006000003</v>
      </c>
    </row>
    <row r="27" spans="1:8" ht="16" x14ac:dyDescent="0.2">
      <c r="A27" s="4">
        <v>11226380</v>
      </c>
      <c r="B27" s="12">
        <v>17</v>
      </c>
      <c r="C27" s="13">
        <v>3</v>
      </c>
      <c r="D27" s="4" t="s">
        <v>22</v>
      </c>
      <c r="E27" s="7">
        <v>63.416666666666664</v>
      </c>
      <c r="F27" s="4">
        <v>329.2183895</v>
      </c>
      <c r="G27" s="19">
        <v>-238.39962</v>
      </c>
      <c r="H27">
        <f t="shared" si="0"/>
        <v>-567.61800949999997</v>
      </c>
    </row>
    <row r="28" spans="1:8" ht="16" x14ac:dyDescent="0.2">
      <c r="A28">
        <v>11227218</v>
      </c>
      <c r="B28" s="12">
        <v>17</v>
      </c>
      <c r="C28" s="13">
        <v>2</v>
      </c>
      <c r="D28" s="14" t="s">
        <v>20</v>
      </c>
      <c r="E28" s="7">
        <v>39.666666666666664</v>
      </c>
      <c r="F28" s="4">
        <v>-7162.5514659999999</v>
      </c>
      <c r="G28" s="19">
        <v>5793.6144400000003</v>
      </c>
      <c r="H28">
        <f t="shared" si="0"/>
        <v>12956.165906</v>
      </c>
    </row>
    <row r="29" spans="1:8" ht="15" customHeight="1" x14ac:dyDescent="0.2">
      <c r="A29" s="4">
        <v>11233046</v>
      </c>
      <c r="B29" s="12">
        <v>31</v>
      </c>
      <c r="C29" s="13">
        <v>1</v>
      </c>
      <c r="D29" s="4" t="s">
        <v>10</v>
      </c>
      <c r="E29" s="7">
        <v>34.75</v>
      </c>
      <c r="F29" s="4">
        <v>-128.12380229999999</v>
      </c>
      <c r="G29" s="19">
        <v>-479.05543</v>
      </c>
      <c r="H29">
        <f t="shared" si="0"/>
        <v>-350.93162770000004</v>
      </c>
    </row>
    <row r="30" spans="1:8" ht="16" x14ac:dyDescent="0.2">
      <c r="A30" s="4">
        <v>11233713</v>
      </c>
      <c r="B30" s="12">
        <v>20</v>
      </c>
      <c r="C30" s="13">
        <v>3</v>
      </c>
      <c r="D30" s="14" t="s">
        <v>22</v>
      </c>
      <c r="E30" s="7">
        <v>94.416666666666671</v>
      </c>
      <c r="F30" s="4">
        <v>697.11590720000004</v>
      </c>
      <c r="G30" s="19">
        <v>-2903.6199000000001</v>
      </c>
      <c r="H30">
        <f t="shared" si="0"/>
        <v>-3600.7358072000002</v>
      </c>
    </row>
    <row r="31" spans="1:8" ht="16" x14ac:dyDescent="0.2">
      <c r="A31" s="4">
        <v>11234421</v>
      </c>
      <c r="B31" s="12">
        <v>17</v>
      </c>
      <c r="C31" s="13">
        <v>1</v>
      </c>
      <c r="D31" s="4" t="s">
        <v>23</v>
      </c>
      <c r="E31" s="7">
        <v>39.083333333333336</v>
      </c>
      <c r="F31" s="4">
        <v>258.76200219999998</v>
      </c>
      <c r="G31" s="19">
        <v>-611.50662999999997</v>
      </c>
      <c r="H31">
        <f t="shared" si="0"/>
        <v>-870.26863219999996</v>
      </c>
    </row>
    <row r="32" spans="1:8" s="11" customFormat="1" ht="16" x14ac:dyDescent="0.2">
      <c r="A32" s="8">
        <v>11238983</v>
      </c>
      <c r="B32" s="16">
        <v>9</v>
      </c>
      <c r="C32" s="17">
        <v>3</v>
      </c>
      <c r="D32" s="18" t="s">
        <v>24</v>
      </c>
      <c r="E32" s="10">
        <v>53.166666666666664</v>
      </c>
      <c r="F32" s="21" t="s">
        <v>11</v>
      </c>
      <c r="G32" s="21" t="s">
        <v>11</v>
      </c>
      <c r="H32" s="21" t="s">
        <v>11</v>
      </c>
    </row>
    <row r="33" spans="1:8" ht="16" x14ac:dyDescent="0.2">
      <c r="A33" s="4">
        <v>11239500</v>
      </c>
      <c r="B33" s="12">
        <v>9</v>
      </c>
      <c r="C33" s="13">
        <v>5</v>
      </c>
      <c r="D33" s="14" t="s">
        <v>9</v>
      </c>
      <c r="E33" s="7">
        <v>69.333333333333329</v>
      </c>
      <c r="F33" s="4">
        <v>-20419.096229999999</v>
      </c>
      <c r="G33" s="19">
        <v>12824.709199999999</v>
      </c>
      <c r="H33">
        <f t="shared" si="0"/>
        <v>33243.80543</v>
      </c>
    </row>
    <row r="34" spans="1:8" ht="16" x14ac:dyDescent="0.2">
      <c r="A34" s="4">
        <v>11241998</v>
      </c>
      <c r="B34" s="12">
        <v>18</v>
      </c>
      <c r="C34" s="13">
        <v>2</v>
      </c>
      <c r="D34" s="4" t="s">
        <v>25</v>
      </c>
      <c r="E34" s="7">
        <v>64</v>
      </c>
      <c r="F34" s="4">
        <v>-1140.6304929999999</v>
      </c>
      <c r="G34" s="19">
        <v>-5355.6055999999999</v>
      </c>
      <c r="H34">
        <f t="shared" si="0"/>
        <v>-4214.9751070000002</v>
      </c>
    </row>
    <row r="35" spans="1:8" ht="16" x14ac:dyDescent="0.2">
      <c r="A35" s="4">
        <v>11242420</v>
      </c>
      <c r="B35" s="12">
        <v>22</v>
      </c>
      <c r="C35" s="13">
        <v>0</v>
      </c>
      <c r="D35" s="4" t="s">
        <v>8</v>
      </c>
      <c r="E35" s="7">
        <v>12.333333333333334</v>
      </c>
      <c r="F35" s="4">
        <v>159.0449562</v>
      </c>
      <c r="G35" s="19">
        <v>-1943.6581000000001</v>
      </c>
      <c r="H35">
        <f t="shared" si="0"/>
        <v>-2102.7030562</v>
      </c>
    </row>
    <row r="36" spans="1:8" ht="16" x14ac:dyDescent="0.2">
      <c r="A36" s="4">
        <v>11242727</v>
      </c>
      <c r="B36" s="12">
        <v>12</v>
      </c>
      <c r="C36" s="13">
        <v>4</v>
      </c>
      <c r="D36" s="14" t="s">
        <v>21</v>
      </c>
      <c r="E36" s="7">
        <v>39.333333333333336</v>
      </c>
      <c r="F36" s="4">
        <v>1681.571222</v>
      </c>
      <c r="G36" s="19">
        <v>-1000.119</v>
      </c>
      <c r="H36">
        <f t="shared" si="0"/>
        <v>-2681.6902220000002</v>
      </c>
    </row>
    <row r="37" spans="1:8" s="11" customFormat="1" ht="16" x14ac:dyDescent="0.2">
      <c r="A37" s="8">
        <v>11242884</v>
      </c>
      <c r="B37" s="22">
        <v>20</v>
      </c>
      <c r="C37" s="9" t="s">
        <v>11</v>
      </c>
      <c r="D37" s="9" t="s">
        <v>12</v>
      </c>
      <c r="E37" s="10">
        <v>65.333333333333329</v>
      </c>
      <c r="F37" s="8">
        <v>-239.08882689999999</v>
      </c>
      <c r="G37" s="20">
        <v>-3670.4852999999998</v>
      </c>
      <c r="H37" s="11">
        <f t="shared" si="0"/>
        <v>-3431.3964730999996</v>
      </c>
    </row>
    <row r="38" spans="1:8" ht="16" x14ac:dyDescent="0.2">
      <c r="A38" s="4">
        <v>11245481</v>
      </c>
      <c r="B38" s="12">
        <v>19</v>
      </c>
      <c r="C38" s="4">
        <v>0</v>
      </c>
      <c r="D38" s="4" t="s">
        <v>8</v>
      </c>
      <c r="E38" s="7">
        <v>71.25</v>
      </c>
      <c r="F38" s="4">
        <v>-1014.382627</v>
      </c>
      <c r="G38" s="19">
        <v>-1297.9481000000001</v>
      </c>
      <c r="H38">
        <f t="shared" si="0"/>
        <v>-283.56547300000011</v>
      </c>
    </row>
    <row r="39" spans="1:8" ht="16" x14ac:dyDescent="0.2">
      <c r="A39" s="4">
        <v>11245825</v>
      </c>
      <c r="B39" s="12">
        <v>11</v>
      </c>
      <c r="C39" s="4">
        <v>3</v>
      </c>
      <c r="D39" s="14" t="s">
        <v>22</v>
      </c>
      <c r="E39" s="7">
        <v>11.166666666666666</v>
      </c>
      <c r="F39" s="4">
        <v>-397.5051363</v>
      </c>
      <c r="G39" s="19">
        <v>531.45678499999997</v>
      </c>
      <c r="H39">
        <f t="shared" si="0"/>
        <v>928.96192129999997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B5E6-4553-48AA-9EC8-73206238CAF8}">
  <dimension ref="A1:K39"/>
  <sheetViews>
    <sheetView tabSelected="1" zoomScale="120" zoomScaleNormal="120" workbookViewId="0">
      <selection activeCell="D19" sqref="D19"/>
    </sheetView>
  </sheetViews>
  <sheetFormatPr baseColWidth="10" defaultColWidth="8.83203125" defaultRowHeight="15" x14ac:dyDescent="0.2"/>
  <cols>
    <col min="1" max="1" width="13.5" bestFit="1" customWidth="1"/>
    <col min="2" max="2" width="9.6640625" bestFit="1" customWidth="1"/>
    <col min="3" max="3" width="39.5" bestFit="1" customWidth="1"/>
    <col min="4" max="4" width="7" bestFit="1" customWidth="1"/>
    <col min="5" max="5" width="8.5" bestFit="1" customWidth="1"/>
    <col min="6" max="6" width="7.6640625" bestFit="1" customWidth="1"/>
    <col min="7" max="7" width="8" bestFit="1" customWidth="1"/>
    <col min="8" max="8" width="7.6640625" bestFit="1" customWidth="1"/>
    <col min="9" max="9" width="16.5" bestFit="1" customWidth="1"/>
    <col min="10" max="10" width="17.5" bestFit="1" customWidth="1"/>
    <col min="11" max="11" width="13" bestFit="1" customWidth="1"/>
  </cols>
  <sheetData>
    <row r="1" spans="1:11" s="3" customFormat="1" x14ac:dyDescent="0.2">
      <c r="A1" s="1" t="s">
        <v>0</v>
      </c>
      <c r="B1" s="1" t="s">
        <v>2</v>
      </c>
      <c r="C1" s="1" t="s">
        <v>3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5</v>
      </c>
      <c r="J1" s="3" t="s">
        <v>6</v>
      </c>
      <c r="K1" s="3" t="s">
        <v>7</v>
      </c>
    </row>
    <row r="2" spans="1:11" ht="16" x14ac:dyDescent="0.2">
      <c r="A2" s="4">
        <v>11154421</v>
      </c>
      <c r="B2" s="4">
        <v>0</v>
      </c>
      <c r="C2" s="4" t="s">
        <v>8</v>
      </c>
      <c r="D2" s="4" t="s">
        <v>31</v>
      </c>
      <c r="E2" s="4" t="s">
        <v>31</v>
      </c>
      <c r="F2" s="4" t="s">
        <v>31</v>
      </c>
      <c r="G2" s="4" t="s">
        <v>31</v>
      </c>
      <c r="H2" s="4" t="s">
        <v>31</v>
      </c>
      <c r="I2" s="4">
        <v>-337.92106239999998</v>
      </c>
      <c r="J2" s="19">
        <v>1513.4608800000001</v>
      </c>
      <c r="K2">
        <f>J2-I2</f>
        <v>1851.3819424000001</v>
      </c>
    </row>
    <row r="3" spans="1:11" ht="16" x14ac:dyDescent="0.2">
      <c r="A3" s="4">
        <v>11155314</v>
      </c>
      <c r="B3" s="4">
        <v>0</v>
      </c>
      <c r="C3" s="4" t="s">
        <v>8</v>
      </c>
      <c r="D3" s="4" t="s">
        <v>31</v>
      </c>
      <c r="E3" s="4" t="s">
        <v>31</v>
      </c>
      <c r="F3" s="4" t="s">
        <v>31</v>
      </c>
      <c r="G3" s="4" t="s">
        <v>31</v>
      </c>
      <c r="H3" s="4" t="s">
        <v>31</v>
      </c>
      <c r="I3" s="4">
        <v>-2185.292097</v>
      </c>
      <c r="J3" s="19">
        <v>879.284582</v>
      </c>
      <c r="K3">
        <f t="shared" ref="K3:K39" si="0">J3-I3</f>
        <v>3064.5766789999998</v>
      </c>
    </row>
    <row r="4" spans="1:11" ht="16" x14ac:dyDescent="0.2">
      <c r="A4" s="4">
        <v>11159360</v>
      </c>
      <c r="B4" s="4">
        <v>5</v>
      </c>
      <c r="C4" s="4" t="s">
        <v>9</v>
      </c>
      <c r="D4" s="4" t="s">
        <v>32</v>
      </c>
      <c r="E4" s="4" t="s">
        <v>32</v>
      </c>
      <c r="F4" s="4" t="s">
        <v>32</v>
      </c>
      <c r="G4" s="4" t="s">
        <v>32</v>
      </c>
      <c r="H4" s="4" t="s">
        <v>32</v>
      </c>
      <c r="I4" s="4">
        <v>-7680.9948050000003</v>
      </c>
      <c r="J4" s="19">
        <v>8205.5227699999996</v>
      </c>
      <c r="K4">
        <f t="shared" si="0"/>
        <v>15886.517575</v>
      </c>
    </row>
    <row r="5" spans="1:11" ht="16" x14ac:dyDescent="0.2">
      <c r="A5" s="5">
        <v>11166016</v>
      </c>
      <c r="B5" s="4">
        <v>1</v>
      </c>
      <c r="C5" s="4" t="s">
        <v>10</v>
      </c>
      <c r="D5" s="4" t="s">
        <v>31</v>
      </c>
      <c r="E5" s="4" t="s">
        <v>32</v>
      </c>
      <c r="F5" s="4" t="s">
        <v>31</v>
      </c>
      <c r="G5" s="4" t="s">
        <v>31</v>
      </c>
      <c r="H5" s="4" t="s">
        <v>31</v>
      </c>
      <c r="I5" s="4">
        <v>940.81039559999999</v>
      </c>
      <c r="J5" s="19">
        <v>-555.10441000000003</v>
      </c>
      <c r="K5">
        <f t="shared" si="0"/>
        <v>-1495.9148055999999</v>
      </c>
    </row>
    <row r="6" spans="1:11" s="11" customFormat="1" ht="16" x14ac:dyDescent="0.2">
      <c r="A6" s="8">
        <v>11166531</v>
      </c>
      <c r="B6" s="9" t="s">
        <v>12</v>
      </c>
      <c r="C6" s="9" t="s">
        <v>12</v>
      </c>
      <c r="D6" s="9"/>
      <c r="E6" s="9"/>
      <c r="F6" s="9"/>
      <c r="G6" s="9"/>
      <c r="H6" s="9"/>
      <c r="I6" s="8">
        <v>-840.44423110000002</v>
      </c>
      <c r="J6" s="20">
        <v>670.41220999999996</v>
      </c>
      <c r="K6" s="11">
        <f t="shared" si="0"/>
        <v>1510.8564411</v>
      </c>
    </row>
    <row r="7" spans="1:11" ht="16" x14ac:dyDescent="0.2">
      <c r="A7" s="4">
        <v>11171762</v>
      </c>
      <c r="B7" s="4">
        <v>2</v>
      </c>
      <c r="C7" s="4" t="s">
        <v>13</v>
      </c>
      <c r="D7" s="4" t="s">
        <v>32</v>
      </c>
      <c r="E7" s="4" t="s">
        <v>32</v>
      </c>
      <c r="F7" s="4" t="s">
        <v>31</v>
      </c>
      <c r="G7" s="4" t="s">
        <v>31</v>
      </c>
      <c r="H7" s="4" t="s">
        <v>31</v>
      </c>
      <c r="I7" s="4">
        <v>-1840.1285379999999</v>
      </c>
      <c r="J7" s="19">
        <v>1129.8261199999999</v>
      </c>
      <c r="K7">
        <f t="shared" si="0"/>
        <v>2969.9546579999997</v>
      </c>
    </row>
    <row r="8" spans="1:11" ht="16" x14ac:dyDescent="0.2">
      <c r="A8" s="5">
        <v>11175804</v>
      </c>
      <c r="B8" s="4">
        <v>0</v>
      </c>
      <c r="C8" s="4" t="s">
        <v>8</v>
      </c>
      <c r="D8" s="4" t="s">
        <v>31</v>
      </c>
      <c r="E8" s="4" t="s">
        <v>31</v>
      </c>
      <c r="F8" s="4" t="s">
        <v>31</v>
      </c>
      <c r="G8" s="4" t="s">
        <v>31</v>
      </c>
      <c r="H8" s="4" t="s">
        <v>31</v>
      </c>
      <c r="I8" s="4">
        <v>290.52997149999999</v>
      </c>
      <c r="J8" s="19">
        <v>-560.64032999999995</v>
      </c>
      <c r="K8">
        <f t="shared" si="0"/>
        <v>-851.17030149999994</v>
      </c>
    </row>
    <row r="9" spans="1:11" ht="16" x14ac:dyDescent="0.2">
      <c r="A9" s="5">
        <v>11176497</v>
      </c>
      <c r="B9" s="4">
        <v>2</v>
      </c>
      <c r="C9" s="4" t="s">
        <v>14</v>
      </c>
      <c r="D9" s="4" t="s">
        <v>32</v>
      </c>
      <c r="E9" s="4" t="s">
        <v>32</v>
      </c>
      <c r="F9" s="4" t="s">
        <v>31</v>
      </c>
      <c r="G9" s="4" t="s">
        <v>31</v>
      </c>
      <c r="H9" s="4" t="s">
        <v>31</v>
      </c>
      <c r="I9" s="4">
        <v>-258.86363260000002</v>
      </c>
      <c r="J9" s="19">
        <v>242.65804199999999</v>
      </c>
      <c r="K9">
        <f t="shared" si="0"/>
        <v>501.52167459999998</v>
      </c>
    </row>
    <row r="10" spans="1:11" ht="16" x14ac:dyDescent="0.2">
      <c r="A10" s="4">
        <v>11177844</v>
      </c>
      <c r="B10" s="4">
        <v>0</v>
      </c>
      <c r="C10" s="4" t="s">
        <v>8</v>
      </c>
      <c r="D10" s="4" t="s">
        <v>31</v>
      </c>
      <c r="E10" s="4" t="s">
        <v>31</v>
      </c>
      <c r="F10" s="4" t="s">
        <v>31</v>
      </c>
      <c r="G10" s="4" t="s">
        <v>31</v>
      </c>
      <c r="H10" s="4" t="s">
        <v>31</v>
      </c>
      <c r="I10" s="4">
        <v>-1643.2816539999999</v>
      </c>
      <c r="J10" s="19">
        <v>-1863.7967000000001</v>
      </c>
      <c r="K10">
        <f t="shared" si="0"/>
        <v>-220.51504600000021</v>
      </c>
    </row>
    <row r="11" spans="1:11" ht="16" x14ac:dyDescent="0.2">
      <c r="A11" s="5">
        <v>11190614</v>
      </c>
      <c r="B11" s="4">
        <v>5</v>
      </c>
      <c r="C11" s="4" t="s">
        <v>9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32</v>
      </c>
      <c r="I11" s="4">
        <v>-721.03052249999996</v>
      </c>
      <c r="J11" s="19">
        <v>-2908.9847</v>
      </c>
      <c r="K11">
        <f t="shared" si="0"/>
        <v>-2187.9541774999998</v>
      </c>
    </row>
    <row r="12" spans="1:11" ht="16" x14ac:dyDescent="0.2">
      <c r="A12" s="4">
        <v>11192281</v>
      </c>
      <c r="B12" s="13">
        <v>1</v>
      </c>
      <c r="C12" s="4" t="s">
        <v>15</v>
      </c>
      <c r="D12" s="4" t="s">
        <v>31</v>
      </c>
      <c r="E12" s="4" t="s">
        <v>31</v>
      </c>
      <c r="F12" s="4" t="s">
        <v>32</v>
      </c>
      <c r="G12" s="4" t="s">
        <v>31</v>
      </c>
      <c r="H12" s="4" t="s">
        <v>31</v>
      </c>
      <c r="I12" s="4">
        <v>8925.5282349999998</v>
      </c>
      <c r="J12" s="19">
        <v>-12856.09</v>
      </c>
      <c r="K12">
        <f t="shared" si="0"/>
        <v>-21781.618235000002</v>
      </c>
    </row>
    <row r="13" spans="1:11" ht="16" x14ac:dyDescent="0.2">
      <c r="A13" s="4">
        <v>11192680</v>
      </c>
      <c r="B13" s="13">
        <v>4</v>
      </c>
      <c r="C13" s="4" t="s">
        <v>16</v>
      </c>
      <c r="D13" s="4" t="s">
        <v>32</v>
      </c>
      <c r="E13" s="4" t="s">
        <v>32</v>
      </c>
      <c r="F13" s="4" t="s">
        <v>32</v>
      </c>
      <c r="G13" s="4" t="s">
        <v>32</v>
      </c>
      <c r="H13" s="4" t="s">
        <v>31</v>
      </c>
      <c r="I13" s="4">
        <v>-2026.6985079999999</v>
      </c>
      <c r="J13" s="19">
        <v>-506.29122999999998</v>
      </c>
      <c r="K13">
        <f t="shared" si="0"/>
        <v>1520.4072779999999</v>
      </c>
    </row>
    <row r="14" spans="1:11" ht="16" x14ac:dyDescent="0.2">
      <c r="A14" s="5">
        <v>11193737</v>
      </c>
      <c r="B14" s="13">
        <v>1</v>
      </c>
      <c r="C14" s="4" t="s">
        <v>15</v>
      </c>
      <c r="D14" s="4" t="s">
        <v>31</v>
      </c>
      <c r="E14" s="4" t="s">
        <v>31</v>
      </c>
      <c r="F14" s="4" t="s">
        <v>32</v>
      </c>
      <c r="G14" s="4" t="s">
        <v>31</v>
      </c>
      <c r="H14" s="4" t="s">
        <v>31</v>
      </c>
      <c r="I14" s="4">
        <v>518.51364179999996</v>
      </c>
      <c r="J14" s="19">
        <v>-1920.4208000000001</v>
      </c>
      <c r="K14">
        <f t="shared" si="0"/>
        <v>-2438.9344418000001</v>
      </c>
    </row>
    <row r="15" spans="1:11" ht="16" x14ac:dyDescent="0.2">
      <c r="A15" s="5">
        <v>11195915</v>
      </c>
      <c r="B15" s="13">
        <v>5</v>
      </c>
      <c r="C15" s="14" t="s">
        <v>9</v>
      </c>
      <c r="D15" s="14" t="s">
        <v>32</v>
      </c>
      <c r="E15" s="14" t="s">
        <v>32</v>
      </c>
      <c r="F15" s="14" t="s">
        <v>32</v>
      </c>
      <c r="G15" s="14" t="s">
        <v>32</v>
      </c>
      <c r="H15" s="14" t="s">
        <v>32</v>
      </c>
      <c r="I15" s="4">
        <v>-410.90039539999998</v>
      </c>
      <c r="J15" s="19">
        <v>-924.32836999999995</v>
      </c>
      <c r="K15">
        <f t="shared" si="0"/>
        <v>-513.42797459999997</v>
      </c>
    </row>
    <row r="16" spans="1:11" s="11" customFormat="1" ht="16" x14ac:dyDescent="0.2">
      <c r="A16" s="8">
        <v>11197553</v>
      </c>
      <c r="B16" s="9" t="s">
        <v>12</v>
      </c>
      <c r="C16" s="9" t="s">
        <v>12</v>
      </c>
      <c r="D16" s="9"/>
      <c r="E16" s="9"/>
      <c r="F16" s="9"/>
      <c r="G16" s="9"/>
      <c r="H16" s="9"/>
      <c r="I16" s="8">
        <v>-67.008467179999997</v>
      </c>
      <c r="J16" s="20">
        <v>-734.87307999999996</v>
      </c>
      <c r="K16" s="11">
        <f t="shared" si="0"/>
        <v>-667.86461281999993</v>
      </c>
    </row>
    <row r="17" spans="1:11" ht="16" x14ac:dyDescent="0.2">
      <c r="A17" s="5">
        <v>11203326</v>
      </c>
      <c r="B17" s="4">
        <v>2</v>
      </c>
      <c r="C17" s="4" t="s">
        <v>17</v>
      </c>
      <c r="D17" s="4" t="s">
        <v>31</v>
      </c>
      <c r="E17" s="4" t="s">
        <v>31</v>
      </c>
      <c r="F17" s="4" t="s">
        <v>32</v>
      </c>
      <c r="G17" s="4" t="s">
        <v>32</v>
      </c>
      <c r="H17" s="5" t="s">
        <v>31</v>
      </c>
      <c r="I17" s="4">
        <v>-396.9232586</v>
      </c>
      <c r="J17" s="19">
        <v>1888.44822</v>
      </c>
      <c r="K17">
        <f t="shared" si="0"/>
        <v>2285.3714786</v>
      </c>
    </row>
    <row r="18" spans="1:11" ht="16" x14ac:dyDescent="0.2">
      <c r="A18" s="4">
        <v>11204166</v>
      </c>
      <c r="B18" s="13">
        <v>1</v>
      </c>
      <c r="C18" s="4" t="s">
        <v>15</v>
      </c>
      <c r="D18" s="5" t="s">
        <v>31</v>
      </c>
      <c r="E18" s="5" t="s">
        <v>31</v>
      </c>
      <c r="F18" s="4" t="s">
        <v>32</v>
      </c>
      <c r="G18" s="5" t="s">
        <v>31</v>
      </c>
      <c r="H18" s="5" t="s">
        <v>31</v>
      </c>
      <c r="I18" s="4">
        <v>-1716.06483</v>
      </c>
      <c r="J18" s="19">
        <v>712.952403</v>
      </c>
      <c r="K18">
        <f t="shared" si="0"/>
        <v>2429.017233</v>
      </c>
    </row>
    <row r="19" spans="1:11" ht="16" x14ac:dyDescent="0.2">
      <c r="A19" s="4">
        <v>11208967</v>
      </c>
      <c r="B19" s="13">
        <v>2</v>
      </c>
      <c r="C19" s="4" t="s">
        <v>18</v>
      </c>
      <c r="D19" s="4" t="s">
        <v>32</v>
      </c>
      <c r="E19" s="5" t="s">
        <v>31</v>
      </c>
      <c r="F19" s="5" t="s">
        <v>31</v>
      </c>
      <c r="G19" s="5" t="s">
        <v>31</v>
      </c>
      <c r="H19" s="5" t="s">
        <v>32</v>
      </c>
      <c r="I19" s="4">
        <v>-706.48636699999997</v>
      </c>
      <c r="J19" s="19">
        <v>83.183874799999998</v>
      </c>
      <c r="K19">
        <f t="shared" si="0"/>
        <v>789.67024179999999</v>
      </c>
    </row>
    <row r="20" spans="1:11" ht="16" x14ac:dyDescent="0.2">
      <c r="A20" s="4">
        <v>11209766</v>
      </c>
      <c r="B20" s="13">
        <v>1</v>
      </c>
      <c r="C20" s="4" t="s">
        <v>10</v>
      </c>
      <c r="D20" s="4" t="s">
        <v>31</v>
      </c>
      <c r="E20" s="4" t="s">
        <v>32</v>
      </c>
      <c r="F20" s="5" t="s">
        <v>31</v>
      </c>
      <c r="G20" s="5" t="s">
        <v>31</v>
      </c>
      <c r="H20" s="5" t="s">
        <v>31</v>
      </c>
      <c r="I20" s="4">
        <v>-902.95852100000002</v>
      </c>
      <c r="J20" s="19">
        <v>2505.19499</v>
      </c>
      <c r="K20">
        <f t="shared" si="0"/>
        <v>3408.153511</v>
      </c>
    </row>
    <row r="21" spans="1:11" ht="16" x14ac:dyDescent="0.2">
      <c r="A21" s="4">
        <v>11210199</v>
      </c>
      <c r="B21" s="13">
        <v>5</v>
      </c>
      <c r="C21" s="4" t="s">
        <v>9</v>
      </c>
      <c r="D21" s="4" t="s">
        <v>32</v>
      </c>
      <c r="E21" s="4" t="s">
        <v>32</v>
      </c>
      <c r="F21" s="4" t="s">
        <v>32</v>
      </c>
      <c r="G21" s="4" t="s">
        <v>32</v>
      </c>
      <c r="H21" s="4" t="s">
        <v>32</v>
      </c>
      <c r="I21" s="4">
        <v>1336.3227099999999</v>
      </c>
      <c r="J21" s="19">
        <v>-937.98341000000005</v>
      </c>
      <c r="K21">
        <f t="shared" si="0"/>
        <v>-2274.3061200000002</v>
      </c>
    </row>
    <row r="22" spans="1:11" ht="16" x14ac:dyDescent="0.2">
      <c r="A22" s="4">
        <v>11210883</v>
      </c>
      <c r="B22" s="13">
        <v>3</v>
      </c>
      <c r="C22" s="14" t="s">
        <v>19</v>
      </c>
      <c r="D22" s="14" t="s">
        <v>32</v>
      </c>
      <c r="E22" s="5" t="s">
        <v>31</v>
      </c>
      <c r="F22" s="14" t="s">
        <v>32</v>
      </c>
      <c r="G22" s="5" t="s">
        <v>31</v>
      </c>
      <c r="H22" s="14" t="s">
        <v>32</v>
      </c>
      <c r="I22" s="4">
        <v>-3470.2683200000001</v>
      </c>
      <c r="J22" s="19">
        <v>195.039074</v>
      </c>
      <c r="K22">
        <f t="shared" si="0"/>
        <v>3665.3073939999999</v>
      </c>
    </row>
    <row r="23" spans="1:11" ht="16" x14ac:dyDescent="0.2">
      <c r="A23" s="4">
        <v>11218007</v>
      </c>
      <c r="B23" s="13">
        <v>0</v>
      </c>
      <c r="C23" s="4" t="s">
        <v>8</v>
      </c>
      <c r="D23" s="5" t="s">
        <v>31</v>
      </c>
      <c r="E23" s="5" t="s">
        <v>31</v>
      </c>
      <c r="F23" s="5" t="s">
        <v>31</v>
      </c>
      <c r="G23" s="5" t="s">
        <v>31</v>
      </c>
      <c r="H23" s="5" t="s">
        <v>31</v>
      </c>
      <c r="I23" s="4">
        <v>599.69315029999996</v>
      </c>
      <c r="J23" s="19">
        <v>-1742.8517999999999</v>
      </c>
      <c r="K23">
        <f t="shared" si="0"/>
        <v>-2342.5449503</v>
      </c>
    </row>
    <row r="24" spans="1:11" ht="16" x14ac:dyDescent="0.2">
      <c r="A24" s="4">
        <v>11218900</v>
      </c>
      <c r="B24" s="13">
        <v>5</v>
      </c>
      <c r="C24" s="4" t="s">
        <v>9</v>
      </c>
      <c r="D24" s="4" t="s">
        <v>32</v>
      </c>
      <c r="E24" s="4" t="s">
        <v>32</v>
      </c>
      <c r="F24" s="4" t="s">
        <v>32</v>
      </c>
      <c r="G24" s="4" t="s">
        <v>32</v>
      </c>
      <c r="H24" s="4" t="s">
        <v>32</v>
      </c>
      <c r="I24" s="4">
        <v>-995.85856320000005</v>
      </c>
      <c r="J24" s="19">
        <v>1494.8480199999999</v>
      </c>
      <c r="K24">
        <f t="shared" si="0"/>
        <v>2490.7065831999998</v>
      </c>
    </row>
    <row r="25" spans="1:11" ht="16" x14ac:dyDescent="0.2">
      <c r="A25" s="4">
        <v>11220085</v>
      </c>
      <c r="B25" s="13">
        <v>2</v>
      </c>
      <c r="C25" s="4" t="s">
        <v>20</v>
      </c>
      <c r="D25" s="4" t="s">
        <v>32</v>
      </c>
      <c r="E25" s="5" t="s">
        <v>31</v>
      </c>
      <c r="F25" s="4" t="s">
        <v>32</v>
      </c>
      <c r="G25" s="5" t="s">
        <v>31</v>
      </c>
      <c r="H25" s="5" t="s">
        <v>31</v>
      </c>
      <c r="I25" s="4">
        <v>784.62088289999997</v>
      </c>
      <c r="J25" s="19">
        <v>-32.201084000000002</v>
      </c>
      <c r="K25">
        <f t="shared" si="0"/>
        <v>-816.82196690000001</v>
      </c>
    </row>
    <row r="26" spans="1:11" ht="16" x14ac:dyDescent="0.2">
      <c r="A26" s="4">
        <v>11225336</v>
      </c>
      <c r="B26" s="13">
        <v>4</v>
      </c>
      <c r="C26" s="14" t="s">
        <v>21</v>
      </c>
      <c r="D26" s="14" t="s">
        <v>32</v>
      </c>
      <c r="E26" s="14" t="s">
        <v>32</v>
      </c>
      <c r="F26" s="5" t="s">
        <v>31</v>
      </c>
      <c r="G26" s="14" t="s">
        <v>32</v>
      </c>
      <c r="H26" s="14" t="s">
        <v>32</v>
      </c>
      <c r="I26" s="4">
        <v>-397.46863059999998</v>
      </c>
      <c r="J26" s="19">
        <v>5430.82017</v>
      </c>
      <c r="K26">
        <f t="shared" si="0"/>
        <v>5828.2888006000003</v>
      </c>
    </row>
    <row r="27" spans="1:11" ht="16" x14ac:dyDescent="0.2">
      <c r="A27" s="4">
        <v>11226380</v>
      </c>
      <c r="B27" s="13">
        <v>3</v>
      </c>
      <c r="C27" s="4" t="s">
        <v>22</v>
      </c>
      <c r="D27" s="4" t="s">
        <v>32</v>
      </c>
      <c r="E27" s="5" t="s">
        <v>32</v>
      </c>
      <c r="F27" s="5" t="s">
        <v>31</v>
      </c>
      <c r="G27" s="5" t="s">
        <v>31</v>
      </c>
      <c r="H27" s="5" t="s">
        <v>32</v>
      </c>
      <c r="I27" s="4">
        <v>329.2183895</v>
      </c>
      <c r="J27" s="19">
        <v>-238.39962</v>
      </c>
      <c r="K27">
        <f t="shared" si="0"/>
        <v>-567.61800949999997</v>
      </c>
    </row>
    <row r="28" spans="1:11" ht="16" x14ac:dyDescent="0.2">
      <c r="A28">
        <v>11227218</v>
      </c>
      <c r="B28" s="13">
        <v>2</v>
      </c>
      <c r="C28" s="14" t="s">
        <v>20</v>
      </c>
      <c r="D28" s="14" t="s">
        <v>32</v>
      </c>
      <c r="E28" s="5" t="s">
        <v>31</v>
      </c>
      <c r="F28" s="14" t="s">
        <v>32</v>
      </c>
      <c r="G28" s="5" t="s">
        <v>31</v>
      </c>
      <c r="H28" s="5" t="s">
        <v>31</v>
      </c>
      <c r="I28" s="4">
        <v>-7162.5514659999999</v>
      </c>
      <c r="J28" s="19">
        <v>5793.6144400000003</v>
      </c>
      <c r="K28">
        <f t="shared" si="0"/>
        <v>12956.165906</v>
      </c>
    </row>
    <row r="29" spans="1:11" ht="15" customHeight="1" x14ac:dyDescent="0.2">
      <c r="A29" s="4">
        <v>11233046</v>
      </c>
      <c r="B29" s="13">
        <v>1</v>
      </c>
      <c r="C29" s="4" t="s">
        <v>10</v>
      </c>
      <c r="D29" s="5" t="s">
        <v>31</v>
      </c>
      <c r="E29" s="5" t="s">
        <v>32</v>
      </c>
      <c r="F29" s="5" t="s">
        <v>31</v>
      </c>
      <c r="G29" s="5" t="s">
        <v>31</v>
      </c>
      <c r="H29" s="5" t="s">
        <v>31</v>
      </c>
      <c r="I29" s="4">
        <v>-128.12380229999999</v>
      </c>
      <c r="J29" s="19">
        <v>-479.05543</v>
      </c>
      <c r="K29">
        <f t="shared" si="0"/>
        <v>-350.93162770000004</v>
      </c>
    </row>
    <row r="30" spans="1:11" ht="16" x14ac:dyDescent="0.2">
      <c r="A30" s="4">
        <v>11233713</v>
      </c>
      <c r="B30" s="13">
        <v>3</v>
      </c>
      <c r="C30" s="14" t="s">
        <v>22</v>
      </c>
      <c r="D30" s="14" t="s">
        <v>32</v>
      </c>
      <c r="E30" s="14" t="s">
        <v>32</v>
      </c>
      <c r="F30" s="14" t="s">
        <v>33</v>
      </c>
      <c r="G30" s="5" t="s">
        <v>31</v>
      </c>
      <c r="H30" s="5" t="s">
        <v>31</v>
      </c>
      <c r="I30" s="4">
        <v>697.11590720000004</v>
      </c>
      <c r="J30" s="19">
        <v>-2903.6199000000001</v>
      </c>
      <c r="K30">
        <f t="shared" si="0"/>
        <v>-3600.7358072000002</v>
      </c>
    </row>
    <row r="31" spans="1:11" ht="16" x14ac:dyDescent="0.2">
      <c r="A31" s="4">
        <v>11234421</v>
      </c>
      <c r="B31" s="13">
        <v>1</v>
      </c>
      <c r="C31" s="4" t="s">
        <v>23</v>
      </c>
      <c r="D31" s="5" t="s">
        <v>31</v>
      </c>
      <c r="E31" s="5" t="s">
        <v>31</v>
      </c>
      <c r="F31" s="5" t="s">
        <v>31</v>
      </c>
      <c r="G31" s="5" t="s">
        <v>32</v>
      </c>
      <c r="H31" s="5" t="s">
        <v>31</v>
      </c>
      <c r="I31" s="4">
        <v>258.76200219999998</v>
      </c>
      <c r="J31" s="19">
        <v>-611.50662999999997</v>
      </c>
      <c r="K31">
        <f t="shared" si="0"/>
        <v>-870.26863219999996</v>
      </c>
    </row>
    <row r="32" spans="1:11" s="11" customFormat="1" ht="16" x14ac:dyDescent="0.2">
      <c r="A32" s="8">
        <v>11238983</v>
      </c>
      <c r="B32" s="17">
        <v>3</v>
      </c>
      <c r="C32" s="18" t="s">
        <v>24</v>
      </c>
      <c r="D32" s="18" t="s">
        <v>32</v>
      </c>
      <c r="E32" s="18" t="s">
        <v>32</v>
      </c>
      <c r="F32" s="18" t="s">
        <v>32</v>
      </c>
      <c r="G32" s="18" t="s">
        <v>31</v>
      </c>
      <c r="H32" s="18" t="s">
        <v>31</v>
      </c>
      <c r="I32" s="21" t="s">
        <v>12</v>
      </c>
      <c r="J32" s="21" t="s">
        <v>12</v>
      </c>
      <c r="K32" s="21" t="s">
        <v>12</v>
      </c>
    </row>
    <row r="33" spans="1:11" ht="16" x14ac:dyDescent="0.2">
      <c r="A33" s="4">
        <v>11239500</v>
      </c>
      <c r="B33" s="13">
        <v>5</v>
      </c>
      <c r="C33" s="14" t="s">
        <v>9</v>
      </c>
      <c r="D33" s="14" t="s">
        <v>32</v>
      </c>
      <c r="E33" s="14" t="s">
        <v>32</v>
      </c>
      <c r="F33" s="14" t="s">
        <v>32</v>
      </c>
      <c r="G33" s="14" t="s">
        <v>32</v>
      </c>
      <c r="H33" s="14" t="s">
        <v>32</v>
      </c>
      <c r="I33" s="4">
        <v>-20419.096229999999</v>
      </c>
      <c r="J33" s="19">
        <v>12824.709199999999</v>
      </c>
      <c r="K33">
        <f t="shared" si="0"/>
        <v>33243.80543</v>
      </c>
    </row>
    <row r="34" spans="1:11" ht="16" x14ac:dyDescent="0.2">
      <c r="A34" s="4">
        <v>11241998</v>
      </c>
      <c r="B34" s="13">
        <v>2</v>
      </c>
      <c r="C34" s="4" t="s">
        <v>25</v>
      </c>
      <c r="D34" s="5" t="s">
        <v>31</v>
      </c>
      <c r="E34" s="5" t="s">
        <v>31</v>
      </c>
      <c r="F34" s="4" t="s">
        <v>32</v>
      </c>
      <c r="G34" s="5" t="s">
        <v>31</v>
      </c>
      <c r="H34" s="5" t="s">
        <v>32</v>
      </c>
      <c r="I34" s="4">
        <v>-1140.6304929999999</v>
      </c>
      <c r="J34" s="19">
        <v>-5355.6055999999999</v>
      </c>
      <c r="K34">
        <f t="shared" si="0"/>
        <v>-4214.9751070000002</v>
      </c>
    </row>
    <row r="35" spans="1:11" ht="16" x14ac:dyDescent="0.2">
      <c r="A35" s="4">
        <v>11242420</v>
      </c>
      <c r="B35" s="13">
        <v>0</v>
      </c>
      <c r="C35" s="4" t="s">
        <v>8</v>
      </c>
      <c r="D35" s="4" t="s">
        <v>31</v>
      </c>
      <c r="E35" s="4" t="s">
        <v>31</v>
      </c>
      <c r="F35" s="4" t="s">
        <v>31</v>
      </c>
      <c r="G35" s="4" t="s">
        <v>31</v>
      </c>
      <c r="H35" s="4" t="s">
        <v>31</v>
      </c>
      <c r="I35" s="4">
        <v>159.0449562</v>
      </c>
      <c r="J35" s="19">
        <v>-1943.6581000000001</v>
      </c>
      <c r="K35">
        <f t="shared" si="0"/>
        <v>-2102.7030562</v>
      </c>
    </row>
    <row r="36" spans="1:11" ht="16" x14ac:dyDescent="0.2">
      <c r="A36" s="4">
        <v>11242727</v>
      </c>
      <c r="B36" s="13">
        <v>4</v>
      </c>
      <c r="C36" s="14" t="s">
        <v>21</v>
      </c>
      <c r="D36" s="14" t="s">
        <v>32</v>
      </c>
      <c r="E36" s="14" t="s">
        <v>32</v>
      </c>
      <c r="F36" s="5" t="s">
        <v>31</v>
      </c>
      <c r="G36" s="14" t="s">
        <v>32</v>
      </c>
      <c r="H36" s="14" t="s">
        <v>32</v>
      </c>
      <c r="I36" s="4">
        <v>1681.571222</v>
      </c>
      <c r="J36" s="19">
        <v>-1000.119</v>
      </c>
      <c r="K36">
        <f t="shared" si="0"/>
        <v>-2681.6902220000002</v>
      </c>
    </row>
    <row r="37" spans="1:11" s="11" customFormat="1" ht="16" x14ac:dyDescent="0.2">
      <c r="A37" s="8">
        <v>11242884</v>
      </c>
      <c r="B37" s="9" t="s">
        <v>12</v>
      </c>
      <c r="C37" s="9" t="s">
        <v>12</v>
      </c>
      <c r="D37" s="9"/>
      <c r="E37" s="9"/>
      <c r="F37" s="9"/>
      <c r="G37" s="9"/>
      <c r="H37" s="9"/>
      <c r="I37" s="8">
        <v>-239.08882689999999</v>
      </c>
      <c r="J37" s="20">
        <v>-3670.4852999999998</v>
      </c>
      <c r="K37" s="11">
        <f t="shared" si="0"/>
        <v>-3431.3964730999996</v>
      </c>
    </row>
    <row r="38" spans="1:11" ht="16" x14ac:dyDescent="0.2">
      <c r="A38" s="4">
        <v>11245481</v>
      </c>
      <c r="B38" s="4">
        <v>0</v>
      </c>
      <c r="C38" s="4" t="s">
        <v>8</v>
      </c>
      <c r="D38" s="5" t="s">
        <v>31</v>
      </c>
      <c r="E38" s="5" t="s">
        <v>31</v>
      </c>
      <c r="F38" s="5" t="s">
        <v>31</v>
      </c>
      <c r="G38" s="5" t="s">
        <v>31</v>
      </c>
      <c r="H38" s="5" t="s">
        <v>31</v>
      </c>
      <c r="I38" s="4">
        <v>-1014.382627</v>
      </c>
      <c r="J38" s="19">
        <v>-1297.9481000000001</v>
      </c>
      <c r="K38">
        <f t="shared" si="0"/>
        <v>-283.56547300000011</v>
      </c>
    </row>
    <row r="39" spans="1:11" ht="16" x14ac:dyDescent="0.2">
      <c r="A39" s="4">
        <v>11245825</v>
      </c>
      <c r="B39" s="4">
        <v>3</v>
      </c>
      <c r="C39" s="14" t="s">
        <v>22</v>
      </c>
      <c r="D39" s="14" t="s">
        <v>32</v>
      </c>
      <c r="E39" s="14" t="s">
        <v>32</v>
      </c>
      <c r="F39" s="5" t="s">
        <v>31</v>
      </c>
      <c r="G39" s="5" t="s">
        <v>31</v>
      </c>
      <c r="H39" s="14" t="s">
        <v>32</v>
      </c>
      <c r="I39" s="4">
        <v>-397.5051363</v>
      </c>
      <c r="J39" s="19">
        <v>531.45678499999997</v>
      </c>
      <c r="K39">
        <f t="shared" si="0"/>
        <v>928.96192129999997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26D10-6772-E54C-A42B-349082E368BF}">
  <dimension ref="A1:H89"/>
  <sheetViews>
    <sheetView zoomScale="92" workbookViewId="0">
      <selection activeCell="J11" sqref="J11"/>
    </sheetView>
  </sheetViews>
  <sheetFormatPr baseColWidth="10" defaultColWidth="11.5" defaultRowHeight="15" x14ac:dyDescent="0.2"/>
  <cols>
    <col min="4" max="4" width="33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</row>
    <row r="2" spans="1:8" ht="16" x14ac:dyDescent="0.2">
      <c r="A2" s="4">
        <v>11154421</v>
      </c>
      <c r="B2" s="4">
        <v>19</v>
      </c>
      <c r="C2" s="4">
        <v>0</v>
      </c>
      <c r="D2" s="4" t="s">
        <v>8</v>
      </c>
      <c r="E2" s="6">
        <v>65.25</v>
      </c>
      <c r="F2" s="4">
        <v>-337.92106239999998</v>
      </c>
      <c r="G2" s="19">
        <v>1513.4608800000001</v>
      </c>
      <c r="H2">
        <f>G2-F2</f>
        <v>1851.3819424000001</v>
      </c>
    </row>
    <row r="3" spans="1:8" ht="16" x14ac:dyDescent="0.2">
      <c r="A3" s="4">
        <v>11155314</v>
      </c>
      <c r="B3" s="4">
        <v>15</v>
      </c>
      <c r="C3" s="4">
        <v>0</v>
      </c>
      <c r="D3" s="4" t="s">
        <v>8</v>
      </c>
      <c r="E3" s="7">
        <v>57.58</v>
      </c>
      <c r="F3" s="4">
        <v>-2185.292097</v>
      </c>
      <c r="G3" s="19">
        <v>879.284582</v>
      </c>
      <c r="H3">
        <f t="shared" ref="H3:H89" si="0">G3-F3</f>
        <v>3064.5766789999998</v>
      </c>
    </row>
    <row r="4" spans="1:8" ht="16" x14ac:dyDescent="0.2">
      <c r="A4" s="4">
        <v>11159360</v>
      </c>
      <c r="B4" s="4">
        <v>26</v>
      </c>
      <c r="C4" s="4">
        <v>5</v>
      </c>
      <c r="D4" s="4" t="s">
        <v>34</v>
      </c>
      <c r="E4" s="7">
        <v>51.75</v>
      </c>
      <c r="F4" s="4">
        <v>-7680.9948050000003</v>
      </c>
      <c r="G4" s="19">
        <v>8205.5227699999996</v>
      </c>
      <c r="H4">
        <f t="shared" ref="H4:H7" si="1">G4-F4</f>
        <v>15886.517575</v>
      </c>
    </row>
    <row r="5" spans="1:8" ht="16" x14ac:dyDescent="0.2">
      <c r="A5" s="4">
        <v>11159360</v>
      </c>
      <c r="B5" s="4">
        <v>26</v>
      </c>
      <c r="C5" s="4">
        <v>5</v>
      </c>
      <c r="D5" s="4" t="s">
        <v>10</v>
      </c>
      <c r="E5" s="7">
        <v>51.75</v>
      </c>
      <c r="F5" s="4">
        <v>-7680.9948050000003</v>
      </c>
      <c r="G5" s="19">
        <v>8205.5227699999996</v>
      </c>
      <c r="H5">
        <f t="shared" si="1"/>
        <v>15886.517575</v>
      </c>
    </row>
    <row r="6" spans="1:8" ht="16" x14ac:dyDescent="0.2">
      <c r="A6" s="4">
        <v>11159360</v>
      </c>
      <c r="B6" s="4">
        <v>26</v>
      </c>
      <c r="C6" s="4">
        <v>5</v>
      </c>
      <c r="D6" s="4" t="s">
        <v>15</v>
      </c>
      <c r="E6" s="7">
        <v>51.75</v>
      </c>
      <c r="F6" s="4">
        <v>-7680.9948050000003</v>
      </c>
      <c r="G6" s="19">
        <v>8205.5227699999996</v>
      </c>
      <c r="H6">
        <f t="shared" si="1"/>
        <v>15886.517575</v>
      </c>
    </row>
    <row r="7" spans="1:8" ht="16" x14ac:dyDescent="0.2">
      <c r="A7" s="4">
        <v>11159360</v>
      </c>
      <c r="B7" s="4">
        <v>26</v>
      </c>
      <c r="C7" s="4">
        <v>5</v>
      </c>
      <c r="D7" s="4" t="s">
        <v>35</v>
      </c>
      <c r="E7" s="7">
        <v>51.75</v>
      </c>
      <c r="F7" s="4">
        <v>-7680.9948050000003</v>
      </c>
      <c r="G7" s="19">
        <v>8205.5227699999996</v>
      </c>
      <c r="H7">
        <f t="shared" si="1"/>
        <v>15886.517575</v>
      </c>
    </row>
    <row r="8" spans="1:8" ht="16" x14ac:dyDescent="0.2">
      <c r="A8" s="4">
        <v>11159360</v>
      </c>
      <c r="B8" s="4">
        <v>26</v>
      </c>
      <c r="C8" s="4">
        <v>5</v>
      </c>
      <c r="D8" s="4" t="s">
        <v>36</v>
      </c>
      <c r="E8" s="7">
        <v>51.75</v>
      </c>
      <c r="F8" s="4">
        <v>-7680.9948050000003</v>
      </c>
      <c r="G8" s="19">
        <v>8205.5227699999996</v>
      </c>
      <c r="H8">
        <f t="shared" si="0"/>
        <v>15886.517575</v>
      </c>
    </row>
    <row r="9" spans="1:8" ht="16" x14ac:dyDescent="0.2">
      <c r="A9" s="5">
        <v>11166016</v>
      </c>
      <c r="B9" s="4">
        <v>40</v>
      </c>
      <c r="C9" s="4">
        <v>1</v>
      </c>
      <c r="D9" s="4" t="s">
        <v>10</v>
      </c>
      <c r="E9" s="6">
        <v>31.08</v>
      </c>
      <c r="F9" s="4">
        <v>940.81039559999999</v>
      </c>
      <c r="G9" s="19">
        <v>-555.10441000000003</v>
      </c>
      <c r="H9">
        <f t="shared" si="0"/>
        <v>-1495.9148055999999</v>
      </c>
    </row>
    <row r="10" spans="1:8" ht="16" x14ac:dyDescent="0.2">
      <c r="A10" s="8">
        <v>11166531</v>
      </c>
      <c r="B10" s="8">
        <v>26</v>
      </c>
      <c r="C10" s="9" t="s">
        <v>12</v>
      </c>
      <c r="D10" s="9" t="s">
        <v>12</v>
      </c>
      <c r="E10" s="10">
        <v>96.83</v>
      </c>
      <c r="F10" s="8">
        <v>-840.44423110000002</v>
      </c>
      <c r="G10" s="20">
        <v>670.41220999999996</v>
      </c>
      <c r="H10" s="11">
        <f t="shared" si="0"/>
        <v>1510.8564411</v>
      </c>
    </row>
    <row r="11" spans="1:8" ht="16" x14ac:dyDescent="0.2">
      <c r="A11" s="4">
        <v>11171762</v>
      </c>
      <c r="B11" s="4">
        <v>23</v>
      </c>
      <c r="C11" s="4">
        <v>2</v>
      </c>
      <c r="D11" s="4" t="s">
        <v>34</v>
      </c>
      <c r="E11" s="7">
        <v>31.67</v>
      </c>
      <c r="F11" s="4">
        <v>-1840.1285379999999</v>
      </c>
      <c r="G11" s="19">
        <v>1129.8261199999999</v>
      </c>
      <c r="H11">
        <f t="shared" ref="H11" si="2">G11-F11</f>
        <v>2969.9546579999997</v>
      </c>
    </row>
    <row r="12" spans="1:8" ht="16" x14ac:dyDescent="0.2">
      <c r="A12" s="4">
        <v>11171762</v>
      </c>
      <c r="B12" s="4">
        <v>23</v>
      </c>
      <c r="C12" s="4">
        <v>2</v>
      </c>
      <c r="D12" s="4" t="s">
        <v>10</v>
      </c>
      <c r="E12" s="7">
        <v>31.67</v>
      </c>
      <c r="F12" s="4">
        <v>-1840.1285379999999</v>
      </c>
      <c r="G12" s="19">
        <v>1129.8261199999999</v>
      </c>
      <c r="H12">
        <f t="shared" si="0"/>
        <v>2969.9546579999997</v>
      </c>
    </row>
    <row r="13" spans="1:8" ht="16" x14ac:dyDescent="0.2">
      <c r="A13" s="5">
        <v>11175804</v>
      </c>
      <c r="B13" s="4">
        <v>15</v>
      </c>
      <c r="C13" s="4">
        <v>0</v>
      </c>
      <c r="D13" s="4" t="s">
        <v>8</v>
      </c>
      <c r="E13" s="7">
        <v>52.166666666666664</v>
      </c>
      <c r="F13" s="4">
        <v>290.52997149999999</v>
      </c>
      <c r="G13" s="19">
        <v>-560.64032999999995</v>
      </c>
      <c r="H13">
        <f t="shared" si="0"/>
        <v>-851.17030149999994</v>
      </c>
    </row>
    <row r="14" spans="1:8" ht="16" x14ac:dyDescent="0.2">
      <c r="A14" s="5">
        <v>11176497</v>
      </c>
      <c r="B14" s="4">
        <v>14</v>
      </c>
      <c r="C14" s="4">
        <v>2</v>
      </c>
      <c r="D14" s="4" t="s">
        <v>34</v>
      </c>
      <c r="E14" s="7">
        <v>13.416666666666666</v>
      </c>
      <c r="F14" s="4">
        <v>-258.86363260000002</v>
      </c>
      <c r="G14" s="19">
        <v>242.65804199999999</v>
      </c>
      <c r="H14">
        <f t="shared" ref="H14" si="3">G14-F14</f>
        <v>501.52167459999998</v>
      </c>
    </row>
    <row r="15" spans="1:8" ht="16" x14ac:dyDescent="0.2">
      <c r="A15" s="5">
        <v>11176497</v>
      </c>
      <c r="B15" s="4">
        <v>14</v>
      </c>
      <c r="C15" s="4">
        <v>2</v>
      </c>
      <c r="D15" s="4" t="s">
        <v>36</v>
      </c>
      <c r="E15" s="7">
        <v>13.416666666666666</v>
      </c>
      <c r="F15" s="4">
        <v>-258.86363260000002</v>
      </c>
      <c r="G15" s="19">
        <v>242.65804199999999</v>
      </c>
      <c r="H15">
        <f t="shared" si="0"/>
        <v>501.52167459999998</v>
      </c>
    </row>
    <row r="16" spans="1:8" ht="16" x14ac:dyDescent="0.2">
      <c r="A16" s="4">
        <v>11177844</v>
      </c>
      <c r="B16" s="4">
        <v>26</v>
      </c>
      <c r="C16" s="4">
        <v>0</v>
      </c>
      <c r="D16" s="4" t="s">
        <v>8</v>
      </c>
      <c r="E16" s="7">
        <v>77.083333333333329</v>
      </c>
      <c r="F16" s="4">
        <v>-1643.2816539999999</v>
      </c>
      <c r="G16" s="19">
        <v>-1863.7967000000001</v>
      </c>
      <c r="H16">
        <f t="shared" si="0"/>
        <v>-220.51504600000021</v>
      </c>
    </row>
    <row r="17" spans="1:8" ht="16" x14ac:dyDescent="0.2">
      <c r="A17" s="5">
        <v>11190614</v>
      </c>
      <c r="B17" s="4">
        <v>16</v>
      </c>
      <c r="C17" s="4">
        <v>5</v>
      </c>
      <c r="D17" s="4" t="s">
        <v>34</v>
      </c>
      <c r="E17" s="7">
        <v>77.833333333333329</v>
      </c>
      <c r="F17" s="4">
        <v>-721.03052249999996</v>
      </c>
      <c r="G17" s="19">
        <v>-2908.9847</v>
      </c>
      <c r="H17">
        <f t="shared" ref="H17:H20" si="4">G17-F17</f>
        <v>-2187.9541774999998</v>
      </c>
    </row>
    <row r="18" spans="1:8" ht="16" x14ac:dyDescent="0.2">
      <c r="A18" s="5">
        <v>11190614</v>
      </c>
      <c r="B18" s="4">
        <v>16</v>
      </c>
      <c r="C18" s="4">
        <v>5</v>
      </c>
      <c r="D18" s="4" t="s">
        <v>10</v>
      </c>
      <c r="E18" s="7">
        <v>77.833333333333329</v>
      </c>
      <c r="F18" s="4">
        <v>-721.03052249999996</v>
      </c>
      <c r="G18" s="19">
        <v>-2908.9847</v>
      </c>
      <c r="H18">
        <f t="shared" si="4"/>
        <v>-2187.9541774999998</v>
      </c>
    </row>
    <row r="19" spans="1:8" ht="16" x14ac:dyDescent="0.2">
      <c r="A19" s="5">
        <v>11190614</v>
      </c>
      <c r="B19" s="4">
        <v>16</v>
      </c>
      <c r="C19" s="4">
        <v>5</v>
      </c>
      <c r="D19" s="4" t="s">
        <v>15</v>
      </c>
      <c r="E19" s="7">
        <v>77.833333333333329</v>
      </c>
      <c r="F19" s="4">
        <v>-721.03052249999996</v>
      </c>
      <c r="G19" s="19">
        <v>-2908.9847</v>
      </c>
      <c r="H19">
        <f t="shared" si="4"/>
        <v>-2187.9541774999998</v>
      </c>
    </row>
    <row r="20" spans="1:8" ht="16" x14ac:dyDescent="0.2">
      <c r="A20" s="5">
        <v>11190614</v>
      </c>
      <c r="B20" s="4">
        <v>16</v>
      </c>
      <c r="C20" s="4">
        <v>5</v>
      </c>
      <c r="D20" s="4" t="s">
        <v>35</v>
      </c>
      <c r="E20" s="7">
        <v>77.833333333333329</v>
      </c>
      <c r="F20" s="4">
        <v>-721.03052249999996</v>
      </c>
      <c r="G20" s="19">
        <v>-2908.9847</v>
      </c>
      <c r="H20">
        <f t="shared" si="4"/>
        <v>-2187.9541774999998</v>
      </c>
    </row>
    <row r="21" spans="1:8" ht="16" x14ac:dyDescent="0.2">
      <c r="A21" s="5">
        <v>11190614</v>
      </c>
      <c r="B21" s="4">
        <v>16</v>
      </c>
      <c r="C21" s="4">
        <v>5</v>
      </c>
      <c r="D21" s="4" t="s">
        <v>36</v>
      </c>
      <c r="E21" s="7">
        <v>77.833333333333329</v>
      </c>
      <c r="F21" s="4">
        <v>-721.03052249999996</v>
      </c>
      <c r="G21" s="19">
        <v>-2908.9847</v>
      </c>
      <c r="H21">
        <f t="shared" si="0"/>
        <v>-2187.9541774999998</v>
      </c>
    </row>
    <row r="22" spans="1:8" ht="16" x14ac:dyDescent="0.2">
      <c r="A22" s="4">
        <v>11192281</v>
      </c>
      <c r="B22" s="12">
        <v>8</v>
      </c>
      <c r="C22" s="13">
        <v>1</v>
      </c>
      <c r="D22" s="4" t="s">
        <v>15</v>
      </c>
      <c r="E22" s="7">
        <v>23</v>
      </c>
      <c r="F22" s="4">
        <v>8925.5282349999998</v>
      </c>
      <c r="G22" s="19">
        <v>-12856.09</v>
      </c>
      <c r="H22">
        <f t="shared" si="0"/>
        <v>-21781.618235000002</v>
      </c>
    </row>
    <row r="23" spans="1:8" ht="16" x14ac:dyDescent="0.2">
      <c r="A23" s="4">
        <v>11192680</v>
      </c>
      <c r="B23" s="12">
        <v>26</v>
      </c>
      <c r="C23" s="13">
        <v>4</v>
      </c>
      <c r="D23" s="4" t="s">
        <v>34</v>
      </c>
      <c r="E23" s="7">
        <v>23.083333333333332</v>
      </c>
      <c r="F23" s="4">
        <v>-2026.6985079999999</v>
      </c>
      <c r="G23" s="19">
        <v>-506.29122999999998</v>
      </c>
      <c r="H23">
        <f t="shared" ref="H23:H25" si="5">G23-F23</f>
        <v>1520.4072779999999</v>
      </c>
    </row>
    <row r="24" spans="1:8" ht="16" x14ac:dyDescent="0.2">
      <c r="A24" s="4">
        <v>11192680</v>
      </c>
      <c r="B24" s="12">
        <v>26</v>
      </c>
      <c r="C24" s="13">
        <v>4</v>
      </c>
      <c r="D24" s="4" t="s">
        <v>10</v>
      </c>
      <c r="E24" s="7">
        <v>23.083333333333332</v>
      </c>
      <c r="F24" s="4">
        <v>-2026.6985079999999</v>
      </c>
      <c r="G24" s="19">
        <v>-506.29122999999998</v>
      </c>
      <c r="H24">
        <f t="shared" si="5"/>
        <v>1520.4072779999999</v>
      </c>
    </row>
    <row r="25" spans="1:8" ht="16" x14ac:dyDescent="0.2">
      <c r="A25" s="4">
        <v>11192680</v>
      </c>
      <c r="B25" s="12">
        <v>26</v>
      </c>
      <c r="C25" s="13">
        <v>4</v>
      </c>
      <c r="D25" s="4" t="s">
        <v>15</v>
      </c>
      <c r="E25" s="7">
        <v>23.083333333333332</v>
      </c>
      <c r="F25" s="4">
        <v>-2026.6985079999999</v>
      </c>
      <c r="G25" s="19">
        <v>-506.29122999999998</v>
      </c>
      <c r="H25">
        <f t="shared" si="5"/>
        <v>1520.4072779999999</v>
      </c>
    </row>
    <row r="26" spans="1:8" ht="16" x14ac:dyDescent="0.2">
      <c r="A26" s="4">
        <v>11192680</v>
      </c>
      <c r="B26" s="12">
        <v>26</v>
      </c>
      <c r="C26" s="13">
        <v>4</v>
      </c>
      <c r="D26" s="4" t="s">
        <v>36</v>
      </c>
      <c r="E26" s="7">
        <v>23.083333333333332</v>
      </c>
      <c r="F26" s="4">
        <v>-2026.6985079999999</v>
      </c>
      <c r="G26" s="19">
        <v>-506.29122999999998</v>
      </c>
      <c r="H26">
        <f t="shared" si="0"/>
        <v>1520.4072779999999</v>
      </c>
    </row>
    <row r="27" spans="1:8" ht="16" x14ac:dyDescent="0.2">
      <c r="A27" s="5">
        <v>11193737</v>
      </c>
      <c r="B27" s="12">
        <v>15</v>
      </c>
      <c r="C27" s="13">
        <v>1</v>
      </c>
      <c r="D27" s="4" t="s">
        <v>15</v>
      </c>
      <c r="E27" s="7">
        <v>57.916666666666664</v>
      </c>
      <c r="F27" s="4">
        <v>518.51364179999996</v>
      </c>
      <c r="G27" s="19">
        <v>-1920.4208000000001</v>
      </c>
      <c r="H27">
        <f t="shared" si="0"/>
        <v>-2438.9344418000001</v>
      </c>
    </row>
    <row r="28" spans="1:8" ht="16" x14ac:dyDescent="0.2">
      <c r="A28" s="5">
        <v>11195915</v>
      </c>
      <c r="B28" s="12">
        <v>26</v>
      </c>
      <c r="C28" s="13">
        <v>5</v>
      </c>
      <c r="D28" s="4" t="s">
        <v>34</v>
      </c>
      <c r="E28" s="7">
        <v>12.5</v>
      </c>
      <c r="F28" s="4">
        <v>-410.90039539999998</v>
      </c>
      <c r="G28" s="19">
        <v>-924.32836999999995</v>
      </c>
      <c r="H28">
        <f t="shared" ref="H28:H31" si="6">G28-F28</f>
        <v>-513.42797459999997</v>
      </c>
    </row>
    <row r="29" spans="1:8" ht="16" x14ac:dyDescent="0.2">
      <c r="A29" s="5">
        <v>11195915</v>
      </c>
      <c r="B29" s="12">
        <v>26</v>
      </c>
      <c r="C29" s="13">
        <v>5</v>
      </c>
      <c r="D29" s="4" t="s">
        <v>10</v>
      </c>
      <c r="E29" s="7">
        <v>12.5</v>
      </c>
      <c r="F29" s="4">
        <v>-410.90039539999998</v>
      </c>
      <c r="G29" s="19">
        <v>-924.32836999999995</v>
      </c>
      <c r="H29">
        <f t="shared" si="6"/>
        <v>-513.42797459999997</v>
      </c>
    </row>
    <row r="30" spans="1:8" ht="16" x14ac:dyDescent="0.2">
      <c r="A30" s="5">
        <v>11195915</v>
      </c>
      <c r="B30" s="12">
        <v>26</v>
      </c>
      <c r="C30" s="13">
        <v>5</v>
      </c>
      <c r="D30" s="4" t="s">
        <v>15</v>
      </c>
      <c r="E30" s="7">
        <v>12.5</v>
      </c>
      <c r="F30" s="4">
        <v>-410.90039539999998</v>
      </c>
      <c r="G30" s="19">
        <v>-924.32836999999995</v>
      </c>
      <c r="H30">
        <f t="shared" si="6"/>
        <v>-513.42797459999997</v>
      </c>
    </row>
    <row r="31" spans="1:8" ht="16" x14ac:dyDescent="0.2">
      <c r="A31" s="5">
        <v>11195915</v>
      </c>
      <c r="B31" s="12">
        <v>26</v>
      </c>
      <c r="C31" s="13">
        <v>5</v>
      </c>
      <c r="D31" s="4" t="s">
        <v>35</v>
      </c>
      <c r="E31" s="7">
        <v>12.5</v>
      </c>
      <c r="F31" s="4">
        <v>-410.90039539999998</v>
      </c>
      <c r="G31" s="19">
        <v>-924.32836999999995</v>
      </c>
      <c r="H31">
        <f t="shared" si="6"/>
        <v>-513.42797459999997</v>
      </c>
    </row>
    <row r="32" spans="1:8" ht="16" x14ac:dyDescent="0.2">
      <c r="A32" s="5">
        <v>11195915</v>
      </c>
      <c r="B32" s="12">
        <v>26</v>
      </c>
      <c r="C32" s="13">
        <v>5</v>
      </c>
      <c r="D32" s="4" t="s">
        <v>36</v>
      </c>
      <c r="E32" s="7">
        <v>12.5</v>
      </c>
      <c r="F32" s="4">
        <v>-410.90039539999998</v>
      </c>
      <c r="G32" s="19">
        <v>-924.32836999999995</v>
      </c>
      <c r="H32">
        <f t="shared" si="0"/>
        <v>-513.42797459999997</v>
      </c>
    </row>
    <row r="33" spans="1:8" ht="16" x14ac:dyDescent="0.2">
      <c r="A33" s="8">
        <v>11197553</v>
      </c>
      <c r="B33" s="22">
        <v>29</v>
      </c>
      <c r="C33" s="9" t="s">
        <v>12</v>
      </c>
      <c r="D33" s="9" t="s">
        <v>12</v>
      </c>
      <c r="E33" s="10">
        <v>6</v>
      </c>
      <c r="F33" s="8">
        <v>-67.008467179999997</v>
      </c>
      <c r="G33" s="20">
        <v>-734.87307999999996</v>
      </c>
      <c r="H33" s="11">
        <f t="shared" si="0"/>
        <v>-667.86461281999993</v>
      </c>
    </row>
    <row r="34" spans="1:8" ht="16" x14ac:dyDescent="0.2">
      <c r="A34" s="5">
        <v>11203326</v>
      </c>
      <c r="B34" s="12">
        <v>17</v>
      </c>
      <c r="C34" s="4">
        <v>2</v>
      </c>
      <c r="D34" s="4" t="s">
        <v>15</v>
      </c>
      <c r="E34" s="7">
        <v>117.58333333333333</v>
      </c>
      <c r="F34" s="4">
        <v>-396.9232586</v>
      </c>
      <c r="G34" s="19">
        <v>1888.44822</v>
      </c>
      <c r="H34">
        <f t="shared" ref="H34" si="7">G34-F34</f>
        <v>2285.3714786</v>
      </c>
    </row>
    <row r="35" spans="1:8" ht="16" x14ac:dyDescent="0.2">
      <c r="A35" s="5">
        <v>11203326</v>
      </c>
      <c r="B35" s="12">
        <v>17</v>
      </c>
      <c r="C35" s="4">
        <v>2</v>
      </c>
      <c r="D35" s="4" t="s">
        <v>35</v>
      </c>
      <c r="E35" s="7">
        <v>117.58333333333333</v>
      </c>
      <c r="F35" s="4">
        <v>-396.9232586</v>
      </c>
      <c r="G35" s="19">
        <v>1888.44822</v>
      </c>
      <c r="H35">
        <f t="shared" si="0"/>
        <v>2285.3714786</v>
      </c>
    </row>
    <row r="36" spans="1:8" ht="16" x14ac:dyDescent="0.2">
      <c r="A36" s="4">
        <v>11204166</v>
      </c>
      <c r="B36" s="12">
        <v>22</v>
      </c>
      <c r="C36" s="13">
        <v>1</v>
      </c>
      <c r="D36" s="4" t="s">
        <v>15</v>
      </c>
      <c r="E36" s="7">
        <v>86.833333333333329</v>
      </c>
      <c r="F36" s="4">
        <v>-1716.06483</v>
      </c>
      <c r="G36" s="19">
        <v>712.952403</v>
      </c>
      <c r="H36">
        <f t="shared" si="0"/>
        <v>2429.017233</v>
      </c>
    </row>
    <row r="37" spans="1:8" ht="16" x14ac:dyDescent="0.2">
      <c r="A37" s="4">
        <v>11208967</v>
      </c>
      <c r="B37" s="12">
        <v>20</v>
      </c>
      <c r="C37" s="13">
        <v>2</v>
      </c>
      <c r="D37" s="4" t="s">
        <v>34</v>
      </c>
      <c r="E37" s="7">
        <v>38.166666666666664</v>
      </c>
      <c r="F37" s="4">
        <v>-706.48636699999997</v>
      </c>
      <c r="G37" s="19">
        <v>83.183874799999998</v>
      </c>
      <c r="H37">
        <f t="shared" ref="H37" si="8">G37-F37</f>
        <v>789.67024179999999</v>
      </c>
    </row>
    <row r="38" spans="1:8" ht="16" x14ac:dyDescent="0.2">
      <c r="A38" s="4">
        <v>11208967</v>
      </c>
      <c r="B38" s="12">
        <v>20</v>
      </c>
      <c r="C38" s="13">
        <v>2</v>
      </c>
      <c r="D38" s="4" t="s">
        <v>36</v>
      </c>
      <c r="E38" s="7">
        <v>38.166666666666664</v>
      </c>
      <c r="F38" s="4">
        <v>-706.48636699999997</v>
      </c>
      <c r="G38" s="19">
        <v>83.183874799999998</v>
      </c>
      <c r="H38">
        <f t="shared" si="0"/>
        <v>789.67024179999999</v>
      </c>
    </row>
    <row r="39" spans="1:8" ht="16" x14ac:dyDescent="0.2">
      <c r="A39" s="4">
        <v>11209766</v>
      </c>
      <c r="B39" s="12">
        <v>23</v>
      </c>
      <c r="C39" s="13">
        <v>1</v>
      </c>
      <c r="D39" s="4" t="s">
        <v>10</v>
      </c>
      <c r="E39" s="7">
        <v>12.5</v>
      </c>
      <c r="F39" s="4">
        <v>-902.95852100000002</v>
      </c>
      <c r="G39" s="19">
        <v>2505.19499</v>
      </c>
      <c r="H39">
        <f t="shared" si="0"/>
        <v>3408.153511</v>
      </c>
    </row>
    <row r="40" spans="1:8" ht="16" x14ac:dyDescent="0.2">
      <c r="A40" s="4">
        <v>11210199</v>
      </c>
      <c r="B40" s="12">
        <v>11</v>
      </c>
      <c r="C40" s="13">
        <v>5</v>
      </c>
      <c r="D40" s="4" t="s">
        <v>34</v>
      </c>
      <c r="E40" s="7">
        <v>41.75</v>
      </c>
      <c r="F40" s="4">
        <v>1336.3227099999999</v>
      </c>
      <c r="G40" s="19">
        <v>-937.98341000000005</v>
      </c>
      <c r="H40">
        <f t="shared" ref="H40:H43" si="9">G40-F40</f>
        <v>-2274.3061200000002</v>
      </c>
    </row>
    <row r="41" spans="1:8" ht="16" x14ac:dyDescent="0.2">
      <c r="A41" s="4">
        <v>11210199</v>
      </c>
      <c r="B41" s="12">
        <v>11</v>
      </c>
      <c r="C41" s="13">
        <v>5</v>
      </c>
      <c r="D41" s="4" t="s">
        <v>10</v>
      </c>
      <c r="E41" s="7">
        <v>41.75</v>
      </c>
      <c r="F41" s="4">
        <v>1336.3227099999999</v>
      </c>
      <c r="G41" s="19">
        <v>-937.98341000000005</v>
      </c>
      <c r="H41">
        <f t="shared" si="9"/>
        <v>-2274.3061200000002</v>
      </c>
    </row>
    <row r="42" spans="1:8" ht="16" x14ac:dyDescent="0.2">
      <c r="A42" s="4">
        <v>11210199</v>
      </c>
      <c r="B42" s="12">
        <v>11</v>
      </c>
      <c r="C42" s="13">
        <v>5</v>
      </c>
      <c r="D42" s="4" t="s">
        <v>15</v>
      </c>
      <c r="E42" s="7">
        <v>41.75</v>
      </c>
      <c r="F42" s="4">
        <v>1336.3227099999999</v>
      </c>
      <c r="G42" s="19">
        <v>-937.98341000000005</v>
      </c>
      <c r="H42">
        <f t="shared" si="9"/>
        <v>-2274.3061200000002</v>
      </c>
    </row>
    <row r="43" spans="1:8" ht="16" x14ac:dyDescent="0.2">
      <c r="A43" s="4">
        <v>11210199</v>
      </c>
      <c r="B43" s="12">
        <v>11</v>
      </c>
      <c r="C43" s="13">
        <v>5</v>
      </c>
      <c r="D43" s="4" t="s">
        <v>35</v>
      </c>
      <c r="E43" s="7">
        <v>41.75</v>
      </c>
      <c r="F43" s="4">
        <v>1336.3227099999999</v>
      </c>
      <c r="G43" s="19">
        <v>-937.98341000000005</v>
      </c>
      <c r="H43">
        <f t="shared" si="9"/>
        <v>-2274.3061200000002</v>
      </c>
    </row>
    <row r="44" spans="1:8" ht="16" x14ac:dyDescent="0.2">
      <c r="A44" s="4">
        <v>11210199</v>
      </c>
      <c r="B44" s="12">
        <v>11</v>
      </c>
      <c r="C44" s="13">
        <v>5</v>
      </c>
      <c r="D44" s="4" t="s">
        <v>36</v>
      </c>
      <c r="E44" s="7">
        <v>41.75</v>
      </c>
      <c r="F44" s="4">
        <v>1336.3227099999999</v>
      </c>
      <c r="G44" s="19">
        <v>-937.98341000000005</v>
      </c>
      <c r="H44">
        <f t="shared" si="0"/>
        <v>-2274.3061200000002</v>
      </c>
    </row>
    <row r="45" spans="1:8" ht="16" x14ac:dyDescent="0.2">
      <c r="A45" s="4">
        <v>11210883</v>
      </c>
      <c r="B45" s="12">
        <v>22</v>
      </c>
      <c r="C45" s="13">
        <v>3</v>
      </c>
      <c r="D45" s="14" t="s">
        <v>34</v>
      </c>
      <c r="E45" s="7">
        <v>87.5</v>
      </c>
      <c r="F45" s="4">
        <v>-3470.2683200000001</v>
      </c>
      <c r="G45" s="19">
        <v>195.039074</v>
      </c>
      <c r="H45">
        <f t="shared" ref="H45:H46" si="10">G45-F45</f>
        <v>3665.3073939999999</v>
      </c>
    </row>
    <row r="46" spans="1:8" ht="16" x14ac:dyDescent="0.2">
      <c r="A46" s="4">
        <v>11210883</v>
      </c>
      <c r="B46" s="12">
        <v>22</v>
      </c>
      <c r="C46" s="13">
        <v>3</v>
      </c>
      <c r="D46" s="14" t="s">
        <v>15</v>
      </c>
      <c r="E46" s="7">
        <v>87.5</v>
      </c>
      <c r="F46" s="4">
        <v>-3470.2683200000001</v>
      </c>
      <c r="G46" s="19">
        <v>195.039074</v>
      </c>
      <c r="H46">
        <f t="shared" si="10"/>
        <v>3665.3073939999999</v>
      </c>
    </row>
    <row r="47" spans="1:8" ht="16" x14ac:dyDescent="0.2">
      <c r="A47" s="4">
        <v>11210883</v>
      </c>
      <c r="B47" s="12">
        <v>22</v>
      </c>
      <c r="C47" s="13">
        <v>3</v>
      </c>
      <c r="D47" s="14" t="s">
        <v>36</v>
      </c>
      <c r="E47" s="7">
        <v>87.5</v>
      </c>
      <c r="F47" s="4">
        <v>-3470.2683200000001</v>
      </c>
      <c r="G47" s="19">
        <v>195.039074</v>
      </c>
      <c r="H47">
        <f t="shared" si="0"/>
        <v>3665.3073939999999</v>
      </c>
    </row>
    <row r="48" spans="1:8" ht="16" x14ac:dyDescent="0.2">
      <c r="A48" s="4">
        <v>11218007</v>
      </c>
      <c r="B48" s="12">
        <v>27</v>
      </c>
      <c r="C48" s="13">
        <v>0</v>
      </c>
      <c r="D48" s="4" t="s">
        <v>8</v>
      </c>
      <c r="E48" s="7">
        <v>63.083333333333336</v>
      </c>
      <c r="F48" s="4">
        <v>599.69315029999996</v>
      </c>
      <c r="G48" s="19">
        <v>-1742.8517999999999</v>
      </c>
      <c r="H48">
        <f t="shared" si="0"/>
        <v>-2342.5449503</v>
      </c>
    </row>
    <row r="49" spans="1:8" ht="16" x14ac:dyDescent="0.2">
      <c r="A49" s="4">
        <v>11218900</v>
      </c>
      <c r="B49" s="12">
        <v>17</v>
      </c>
      <c r="C49" s="13">
        <v>5</v>
      </c>
      <c r="D49" s="4" t="s">
        <v>34</v>
      </c>
      <c r="E49" s="7">
        <v>24.333333333333332</v>
      </c>
      <c r="F49" s="4">
        <v>-995.85856320000005</v>
      </c>
      <c r="G49" s="19">
        <v>1494.8480199999999</v>
      </c>
      <c r="H49">
        <f t="shared" ref="H49:H52" si="11">G49-F49</f>
        <v>2490.7065831999998</v>
      </c>
    </row>
    <row r="50" spans="1:8" ht="16" x14ac:dyDescent="0.2">
      <c r="A50" s="4">
        <v>11218900</v>
      </c>
      <c r="B50" s="12">
        <v>17</v>
      </c>
      <c r="C50" s="13">
        <v>5</v>
      </c>
      <c r="D50" s="4" t="s">
        <v>10</v>
      </c>
      <c r="E50" s="7">
        <v>24.333333333333332</v>
      </c>
      <c r="F50" s="4">
        <v>-995.85856320000005</v>
      </c>
      <c r="G50" s="19">
        <v>1494.8480199999999</v>
      </c>
      <c r="H50">
        <f t="shared" si="11"/>
        <v>2490.7065831999998</v>
      </c>
    </row>
    <row r="51" spans="1:8" ht="16" x14ac:dyDescent="0.2">
      <c r="A51" s="4">
        <v>11218900</v>
      </c>
      <c r="B51" s="12">
        <v>17</v>
      </c>
      <c r="C51" s="13">
        <v>5</v>
      </c>
      <c r="D51" s="4" t="s">
        <v>15</v>
      </c>
      <c r="E51" s="7">
        <v>24.333333333333332</v>
      </c>
      <c r="F51" s="4">
        <v>-995.85856320000005</v>
      </c>
      <c r="G51" s="19">
        <v>1494.8480199999999</v>
      </c>
      <c r="H51">
        <f t="shared" si="11"/>
        <v>2490.7065831999998</v>
      </c>
    </row>
    <row r="52" spans="1:8" ht="16" x14ac:dyDescent="0.2">
      <c r="A52" s="4">
        <v>11218900</v>
      </c>
      <c r="B52" s="12">
        <v>17</v>
      </c>
      <c r="C52" s="13">
        <v>5</v>
      </c>
      <c r="D52" s="4" t="s">
        <v>35</v>
      </c>
      <c r="E52" s="7">
        <v>24.333333333333332</v>
      </c>
      <c r="F52" s="4">
        <v>-995.85856320000005</v>
      </c>
      <c r="G52" s="19">
        <v>1494.8480199999999</v>
      </c>
      <c r="H52">
        <f t="shared" si="11"/>
        <v>2490.7065831999998</v>
      </c>
    </row>
    <row r="53" spans="1:8" ht="16" x14ac:dyDescent="0.2">
      <c r="A53" s="4">
        <v>11218900</v>
      </c>
      <c r="B53" s="12">
        <v>17</v>
      </c>
      <c r="C53" s="13">
        <v>5</v>
      </c>
      <c r="D53" s="4" t="s">
        <v>36</v>
      </c>
      <c r="E53" s="7">
        <v>24.333333333333332</v>
      </c>
      <c r="F53" s="4">
        <v>-995.85856320000005</v>
      </c>
      <c r="G53" s="19">
        <v>1494.8480199999999</v>
      </c>
      <c r="H53">
        <f t="shared" si="0"/>
        <v>2490.7065831999998</v>
      </c>
    </row>
    <row r="54" spans="1:8" ht="16" x14ac:dyDescent="0.2">
      <c r="A54" s="4">
        <v>11220085</v>
      </c>
      <c r="B54" s="12">
        <v>22</v>
      </c>
      <c r="C54" s="13">
        <v>2</v>
      </c>
      <c r="D54" s="4" t="s">
        <v>34</v>
      </c>
      <c r="E54" s="7">
        <v>101.33333333333333</v>
      </c>
      <c r="F54" s="4">
        <v>784.62088289999997</v>
      </c>
      <c r="G54" s="19">
        <v>-32.201084000000002</v>
      </c>
      <c r="H54">
        <f t="shared" ref="H54" si="12">G54-F54</f>
        <v>-816.82196690000001</v>
      </c>
    </row>
    <row r="55" spans="1:8" ht="16" x14ac:dyDescent="0.2">
      <c r="A55" s="4">
        <v>11220085</v>
      </c>
      <c r="B55" s="12">
        <v>22</v>
      </c>
      <c r="C55" s="13">
        <v>2</v>
      </c>
      <c r="D55" s="4" t="s">
        <v>15</v>
      </c>
      <c r="E55" s="7">
        <v>101.33333333333333</v>
      </c>
      <c r="F55" s="4">
        <v>784.62088289999997</v>
      </c>
      <c r="G55" s="19">
        <v>-32.201084000000002</v>
      </c>
      <c r="H55">
        <f t="shared" si="0"/>
        <v>-816.82196690000001</v>
      </c>
    </row>
    <row r="56" spans="1:8" ht="16" x14ac:dyDescent="0.2">
      <c r="A56" s="4">
        <v>11225336</v>
      </c>
      <c r="B56" s="12">
        <v>31</v>
      </c>
      <c r="C56" s="13">
        <v>4</v>
      </c>
      <c r="D56" s="14" t="s">
        <v>34</v>
      </c>
      <c r="E56" s="7">
        <v>55.25</v>
      </c>
      <c r="F56" s="4">
        <v>-397.46863059999998</v>
      </c>
      <c r="G56" s="19">
        <v>5430.82017</v>
      </c>
      <c r="H56">
        <f t="shared" ref="H56:H58" si="13">G56-F56</f>
        <v>5828.2888006000003</v>
      </c>
    </row>
    <row r="57" spans="1:8" ht="16" x14ac:dyDescent="0.2">
      <c r="A57" s="4">
        <v>11225336</v>
      </c>
      <c r="B57" s="12">
        <v>31</v>
      </c>
      <c r="C57" s="13">
        <v>4</v>
      </c>
      <c r="D57" s="14" t="s">
        <v>10</v>
      </c>
      <c r="E57" s="7">
        <v>55.25</v>
      </c>
      <c r="F57" s="4">
        <v>-397.46863059999998</v>
      </c>
      <c r="G57" s="19">
        <v>5430.82017</v>
      </c>
      <c r="H57">
        <f t="shared" si="13"/>
        <v>5828.2888006000003</v>
      </c>
    </row>
    <row r="58" spans="1:8" ht="16" x14ac:dyDescent="0.2">
      <c r="A58" s="4">
        <v>11225336</v>
      </c>
      <c r="B58" s="12">
        <v>31</v>
      </c>
      <c r="C58" s="13">
        <v>4</v>
      </c>
      <c r="D58" s="14" t="s">
        <v>35</v>
      </c>
      <c r="E58" s="7">
        <v>55.25</v>
      </c>
      <c r="F58" s="4">
        <v>-397.46863059999998</v>
      </c>
      <c r="G58" s="19">
        <v>5430.82017</v>
      </c>
      <c r="H58">
        <f t="shared" si="13"/>
        <v>5828.2888006000003</v>
      </c>
    </row>
    <row r="59" spans="1:8" ht="16" x14ac:dyDescent="0.2">
      <c r="A59" s="4">
        <v>11225336</v>
      </c>
      <c r="B59" s="12">
        <v>31</v>
      </c>
      <c r="C59" s="13">
        <v>4</v>
      </c>
      <c r="D59" s="14" t="s">
        <v>36</v>
      </c>
      <c r="E59" s="7">
        <v>55.25</v>
      </c>
      <c r="F59" s="4">
        <v>-397.46863059999998</v>
      </c>
      <c r="G59" s="19">
        <v>5430.82017</v>
      </c>
      <c r="H59">
        <f t="shared" si="0"/>
        <v>5828.2888006000003</v>
      </c>
    </row>
    <row r="60" spans="1:8" ht="16" x14ac:dyDescent="0.2">
      <c r="A60" s="4">
        <v>11226380</v>
      </c>
      <c r="B60" s="12">
        <v>17</v>
      </c>
      <c r="C60" s="13">
        <v>3</v>
      </c>
      <c r="D60" s="14" t="s">
        <v>34</v>
      </c>
      <c r="E60" s="7">
        <v>63.416666666666664</v>
      </c>
      <c r="F60" s="4">
        <v>329.2183895</v>
      </c>
      <c r="G60" s="19">
        <v>-238.39962</v>
      </c>
      <c r="H60">
        <f t="shared" ref="H60:H61" si="14">G60-F60</f>
        <v>-567.61800949999997</v>
      </c>
    </row>
    <row r="61" spans="1:8" ht="16" x14ac:dyDescent="0.2">
      <c r="A61" s="4">
        <v>11226380</v>
      </c>
      <c r="B61" s="12">
        <v>17</v>
      </c>
      <c r="C61" s="13">
        <v>3</v>
      </c>
      <c r="D61" s="14" t="s">
        <v>10</v>
      </c>
      <c r="E61" s="7">
        <v>63.416666666666664</v>
      </c>
      <c r="F61" s="4">
        <v>329.2183895</v>
      </c>
      <c r="G61" s="19">
        <v>-238.39962</v>
      </c>
      <c r="H61">
        <f t="shared" si="14"/>
        <v>-567.61800949999997</v>
      </c>
    </row>
    <row r="62" spans="1:8" ht="16" x14ac:dyDescent="0.2">
      <c r="A62" s="4">
        <v>11226380</v>
      </c>
      <c r="B62" s="12">
        <v>17</v>
      </c>
      <c r="C62" s="13">
        <v>3</v>
      </c>
      <c r="D62" s="14" t="s">
        <v>36</v>
      </c>
      <c r="E62" s="7">
        <v>63.416666666666664</v>
      </c>
      <c r="F62" s="4">
        <v>329.2183895</v>
      </c>
      <c r="G62" s="19">
        <v>-238.39962</v>
      </c>
      <c r="H62">
        <f t="shared" si="0"/>
        <v>-567.61800949999997</v>
      </c>
    </row>
    <row r="63" spans="1:8" ht="16" x14ac:dyDescent="0.2">
      <c r="A63">
        <v>11227218</v>
      </c>
      <c r="B63" s="12">
        <v>17</v>
      </c>
      <c r="C63" s="13">
        <v>2</v>
      </c>
      <c r="D63" s="14" t="s">
        <v>34</v>
      </c>
      <c r="E63" s="7">
        <v>39.666666666666664</v>
      </c>
      <c r="F63" s="4">
        <v>-7162.5514659999999</v>
      </c>
      <c r="G63" s="19">
        <v>5793.6144400000003</v>
      </c>
      <c r="H63">
        <f t="shared" ref="H63" si="15">G63-F63</f>
        <v>12956.165906</v>
      </c>
    </row>
    <row r="64" spans="1:8" ht="16" x14ac:dyDescent="0.2">
      <c r="A64">
        <v>11227218</v>
      </c>
      <c r="B64" s="12">
        <v>17</v>
      </c>
      <c r="C64" s="13">
        <v>2</v>
      </c>
      <c r="D64" s="14" t="s">
        <v>15</v>
      </c>
      <c r="E64" s="7">
        <v>39.666666666666664</v>
      </c>
      <c r="F64" s="4">
        <v>-7162.5514659999999</v>
      </c>
      <c r="G64" s="19">
        <v>5793.6144400000003</v>
      </c>
      <c r="H64">
        <f t="shared" si="0"/>
        <v>12956.165906</v>
      </c>
    </row>
    <row r="65" spans="1:8" ht="16" x14ac:dyDescent="0.2">
      <c r="A65" s="4">
        <v>11233046</v>
      </c>
      <c r="B65" s="12">
        <v>31</v>
      </c>
      <c r="C65" s="13">
        <v>1</v>
      </c>
      <c r="D65" s="4" t="s">
        <v>10</v>
      </c>
      <c r="E65" s="7">
        <v>34.75</v>
      </c>
      <c r="F65" s="4">
        <v>-128.12380229999999</v>
      </c>
      <c r="G65" s="19">
        <v>-479.05543</v>
      </c>
      <c r="H65">
        <f t="shared" si="0"/>
        <v>-350.93162770000004</v>
      </c>
    </row>
    <row r="66" spans="1:8" ht="16" x14ac:dyDescent="0.2">
      <c r="A66" s="4">
        <v>11233713</v>
      </c>
      <c r="B66" s="12">
        <v>20</v>
      </c>
      <c r="C66" s="13">
        <v>3</v>
      </c>
      <c r="D66" s="14" t="s">
        <v>34</v>
      </c>
      <c r="E66" s="7">
        <v>94.416666666666671</v>
      </c>
      <c r="F66" s="4">
        <v>697.11590720000004</v>
      </c>
      <c r="G66" s="19">
        <v>-2903.6199000000001</v>
      </c>
      <c r="H66">
        <f t="shared" ref="H66:H67" si="16">G66-F66</f>
        <v>-3600.7358072000002</v>
      </c>
    </row>
    <row r="67" spans="1:8" ht="16" x14ac:dyDescent="0.2">
      <c r="A67" s="4">
        <v>11233713</v>
      </c>
      <c r="B67" s="12">
        <v>20</v>
      </c>
      <c r="C67" s="13">
        <v>3</v>
      </c>
      <c r="D67" s="14" t="s">
        <v>10</v>
      </c>
      <c r="E67" s="7">
        <v>94.416666666666671</v>
      </c>
      <c r="F67" s="4">
        <v>697.11590720000004</v>
      </c>
      <c r="G67" s="19">
        <v>-2903.6199000000001</v>
      </c>
      <c r="H67">
        <f t="shared" si="16"/>
        <v>-3600.7358072000002</v>
      </c>
    </row>
    <row r="68" spans="1:8" ht="16" x14ac:dyDescent="0.2">
      <c r="A68" s="4">
        <v>11233713</v>
      </c>
      <c r="B68" s="12">
        <v>20</v>
      </c>
      <c r="C68" s="13">
        <v>3</v>
      </c>
      <c r="D68" s="14" t="s">
        <v>36</v>
      </c>
      <c r="E68" s="7">
        <v>94.416666666666671</v>
      </c>
      <c r="F68" s="4">
        <v>697.11590720000004</v>
      </c>
      <c r="G68" s="19">
        <v>-2903.6199000000001</v>
      </c>
      <c r="H68">
        <f t="shared" si="0"/>
        <v>-3600.7358072000002</v>
      </c>
    </row>
    <row r="69" spans="1:8" ht="16" x14ac:dyDescent="0.2">
      <c r="A69" s="4">
        <v>11234421</v>
      </c>
      <c r="B69" s="12">
        <v>17</v>
      </c>
      <c r="C69" s="13">
        <v>1</v>
      </c>
      <c r="D69" s="4" t="s">
        <v>35</v>
      </c>
      <c r="E69" s="7">
        <v>39.083333333333336</v>
      </c>
      <c r="F69" s="4">
        <v>258.76200219999998</v>
      </c>
      <c r="G69" s="19">
        <v>-611.50662999999997</v>
      </c>
      <c r="H69">
        <f t="shared" si="0"/>
        <v>-870.26863219999996</v>
      </c>
    </row>
    <row r="70" spans="1:8" ht="16" x14ac:dyDescent="0.2">
      <c r="A70" s="8">
        <v>11238983</v>
      </c>
      <c r="B70" s="16">
        <v>9</v>
      </c>
      <c r="C70" s="17">
        <v>3</v>
      </c>
      <c r="D70" s="14" t="s">
        <v>34</v>
      </c>
      <c r="E70" s="10">
        <v>51.1666666666667</v>
      </c>
      <c r="F70" s="21" t="s">
        <v>12</v>
      </c>
      <c r="G70" s="21" t="s">
        <v>12</v>
      </c>
      <c r="H70" s="21" t="s">
        <v>12</v>
      </c>
    </row>
    <row r="71" spans="1:8" ht="16" x14ac:dyDescent="0.2">
      <c r="A71" s="8">
        <v>11238983</v>
      </c>
      <c r="B71" s="16">
        <v>9</v>
      </c>
      <c r="C71" s="17">
        <v>3</v>
      </c>
      <c r="D71" s="14" t="s">
        <v>15</v>
      </c>
      <c r="E71" s="10">
        <v>52.1666666666667</v>
      </c>
      <c r="F71" s="21" t="s">
        <v>12</v>
      </c>
      <c r="G71" s="21" t="s">
        <v>12</v>
      </c>
      <c r="H71" s="21" t="s">
        <v>12</v>
      </c>
    </row>
    <row r="72" spans="1:8" ht="16" x14ac:dyDescent="0.2">
      <c r="A72" s="8">
        <v>11238983</v>
      </c>
      <c r="B72" s="16">
        <v>9</v>
      </c>
      <c r="C72" s="17">
        <v>3</v>
      </c>
      <c r="D72" s="4" t="s">
        <v>10</v>
      </c>
      <c r="E72" s="10">
        <v>53.166666666666664</v>
      </c>
      <c r="F72" s="21" t="s">
        <v>12</v>
      </c>
      <c r="G72" s="21" t="s">
        <v>12</v>
      </c>
      <c r="H72" s="21" t="s">
        <v>12</v>
      </c>
    </row>
    <row r="73" spans="1:8" ht="16" x14ac:dyDescent="0.2">
      <c r="A73" s="4">
        <v>11239500</v>
      </c>
      <c r="B73" s="12">
        <v>9</v>
      </c>
      <c r="C73" s="13">
        <v>5</v>
      </c>
      <c r="D73" s="4" t="s">
        <v>34</v>
      </c>
      <c r="E73" s="7">
        <v>69.333333333333329</v>
      </c>
      <c r="F73" s="4">
        <v>-20419.096229999999</v>
      </c>
      <c r="G73" s="19">
        <v>12824.709199999999</v>
      </c>
      <c r="H73">
        <f t="shared" ref="H73:H76" si="17">G73-F73</f>
        <v>33243.80543</v>
      </c>
    </row>
    <row r="74" spans="1:8" ht="16" x14ac:dyDescent="0.2">
      <c r="A74" s="4">
        <v>11239500</v>
      </c>
      <c r="B74" s="12">
        <v>9</v>
      </c>
      <c r="C74" s="13">
        <v>5</v>
      </c>
      <c r="D74" s="4" t="s">
        <v>10</v>
      </c>
      <c r="E74" s="7">
        <v>69.333333333333329</v>
      </c>
      <c r="F74" s="4">
        <v>-20419.096229999999</v>
      </c>
      <c r="G74" s="19">
        <v>12824.709199999999</v>
      </c>
      <c r="H74">
        <f t="shared" si="17"/>
        <v>33243.80543</v>
      </c>
    </row>
    <row r="75" spans="1:8" ht="16" x14ac:dyDescent="0.2">
      <c r="A75" s="4">
        <v>11239500</v>
      </c>
      <c r="B75" s="12">
        <v>9</v>
      </c>
      <c r="C75" s="13">
        <v>5</v>
      </c>
      <c r="D75" s="4" t="s">
        <v>15</v>
      </c>
      <c r="E75" s="7">
        <v>69.333333333333329</v>
      </c>
      <c r="F75" s="4">
        <v>-20419.096229999999</v>
      </c>
      <c r="G75" s="19">
        <v>12824.709199999999</v>
      </c>
      <c r="H75">
        <f t="shared" si="17"/>
        <v>33243.80543</v>
      </c>
    </row>
    <row r="76" spans="1:8" ht="16" x14ac:dyDescent="0.2">
      <c r="A76" s="4">
        <v>11239500</v>
      </c>
      <c r="B76" s="12">
        <v>9</v>
      </c>
      <c r="C76" s="13">
        <v>5</v>
      </c>
      <c r="D76" s="4" t="s">
        <v>35</v>
      </c>
      <c r="E76" s="7">
        <v>69.333333333333329</v>
      </c>
      <c r="F76" s="4">
        <v>-20419.096229999999</v>
      </c>
      <c r="G76" s="19">
        <v>12824.709199999999</v>
      </c>
      <c r="H76">
        <f t="shared" si="17"/>
        <v>33243.80543</v>
      </c>
    </row>
    <row r="77" spans="1:8" ht="16" x14ac:dyDescent="0.2">
      <c r="A77" s="4">
        <v>11239500</v>
      </c>
      <c r="B77" s="12">
        <v>9</v>
      </c>
      <c r="C77" s="13">
        <v>5</v>
      </c>
      <c r="D77" s="4" t="s">
        <v>36</v>
      </c>
      <c r="E77" s="7">
        <v>69.333333333333329</v>
      </c>
      <c r="F77" s="4">
        <v>-20419.096229999999</v>
      </c>
      <c r="G77" s="19">
        <v>12824.709199999999</v>
      </c>
      <c r="H77">
        <f t="shared" si="0"/>
        <v>33243.80543</v>
      </c>
    </row>
    <row r="78" spans="1:8" ht="16" x14ac:dyDescent="0.2">
      <c r="A78" s="4">
        <v>11241998</v>
      </c>
      <c r="B78" s="12">
        <v>18</v>
      </c>
      <c r="C78" s="13">
        <v>2</v>
      </c>
      <c r="D78" s="4" t="s">
        <v>15</v>
      </c>
      <c r="E78" s="7">
        <v>64</v>
      </c>
      <c r="F78" s="4">
        <v>-1140.6304929999999</v>
      </c>
      <c r="G78" s="19">
        <v>-5355.6055999999999</v>
      </c>
      <c r="H78">
        <f t="shared" ref="H78" si="18">G78-F78</f>
        <v>-4214.9751070000002</v>
      </c>
    </row>
    <row r="79" spans="1:8" ht="16" x14ac:dyDescent="0.2">
      <c r="A79" s="4">
        <v>11241998</v>
      </c>
      <c r="B79" s="12">
        <v>18</v>
      </c>
      <c r="C79" s="13">
        <v>2</v>
      </c>
      <c r="D79" s="4" t="s">
        <v>36</v>
      </c>
      <c r="E79" s="7">
        <v>64</v>
      </c>
      <c r="F79" s="4">
        <v>-1140.6304929999999</v>
      </c>
      <c r="G79" s="19">
        <v>-5355.6055999999999</v>
      </c>
      <c r="H79">
        <f t="shared" si="0"/>
        <v>-4214.9751070000002</v>
      </c>
    </row>
    <row r="80" spans="1:8" ht="16" x14ac:dyDescent="0.2">
      <c r="A80" s="4">
        <v>11242420</v>
      </c>
      <c r="B80" s="12">
        <v>22</v>
      </c>
      <c r="C80" s="13">
        <v>0</v>
      </c>
      <c r="D80" s="4" t="s">
        <v>8</v>
      </c>
      <c r="E80" s="7">
        <v>12.333333333333334</v>
      </c>
      <c r="F80" s="4">
        <v>159.0449562</v>
      </c>
      <c r="G80" s="19">
        <v>-1943.6581000000001</v>
      </c>
      <c r="H80">
        <f t="shared" si="0"/>
        <v>-2102.7030562</v>
      </c>
    </row>
    <row r="81" spans="1:8" ht="16" x14ac:dyDescent="0.2">
      <c r="A81" s="4">
        <v>11242727</v>
      </c>
      <c r="B81" s="12">
        <v>12</v>
      </c>
      <c r="C81" s="13">
        <v>4</v>
      </c>
      <c r="D81" s="14" t="s">
        <v>34</v>
      </c>
      <c r="E81" s="7">
        <v>39.333333333333336</v>
      </c>
      <c r="F81" s="4">
        <v>1681.571222</v>
      </c>
      <c r="G81" s="19">
        <v>-1000.119</v>
      </c>
      <c r="H81">
        <f t="shared" ref="H81:H83" si="19">G81-F81</f>
        <v>-2681.6902220000002</v>
      </c>
    </row>
    <row r="82" spans="1:8" ht="16" x14ac:dyDescent="0.2">
      <c r="A82" s="4">
        <v>11242727</v>
      </c>
      <c r="B82" s="12">
        <v>12</v>
      </c>
      <c r="C82" s="13">
        <v>4</v>
      </c>
      <c r="D82" s="14" t="s">
        <v>10</v>
      </c>
      <c r="E82" s="7">
        <v>39.333333333333336</v>
      </c>
      <c r="F82" s="4">
        <v>1681.571222</v>
      </c>
      <c r="G82" s="19">
        <v>-1000.119</v>
      </c>
      <c r="H82">
        <f t="shared" si="19"/>
        <v>-2681.6902220000002</v>
      </c>
    </row>
    <row r="83" spans="1:8" ht="16" x14ac:dyDescent="0.2">
      <c r="A83" s="4">
        <v>11242727</v>
      </c>
      <c r="B83" s="12">
        <v>12</v>
      </c>
      <c r="C83" s="13">
        <v>4</v>
      </c>
      <c r="D83" s="14" t="s">
        <v>35</v>
      </c>
      <c r="E83" s="7">
        <v>39.333333333333336</v>
      </c>
      <c r="F83" s="4">
        <v>1681.571222</v>
      </c>
      <c r="G83" s="19">
        <v>-1000.119</v>
      </c>
      <c r="H83">
        <f t="shared" si="19"/>
        <v>-2681.6902220000002</v>
      </c>
    </row>
    <row r="84" spans="1:8" ht="16" x14ac:dyDescent="0.2">
      <c r="A84" s="4">
        <v>11242727</v>
      </c>
      <c r="B84" s="12">
        <v>12</v>
      </c>
      <c r="C84" s="13">
        <v>4</v>
      </c>
      <c r="D84" s="14" t="s">
        <v>36</v>
      </c>
      <c r="E84" s="7">
        <v>39.333333333333336</v>
      </c>
      <c r="F84" s="4">
        <v>1681.571222</v>
      </c>
      <c r="G84" s="19">
        <v>-1000.119</v>
      </c>
      <c r="H84">
        <f t="shared" si="0"/>
        <v>-2681.6902220000002</v>
      </c>
    </row>
    <row r="85" spans="1:8" ht="16" x14ac:dyDescent="0.2">
      <c r="A85" s="8">
        <v>11242884</v>
      </c>
      <c r="B85" s="22">
        <v>20</v>
      </c>
      <c r="C85" s="9" t="s">
        <v>12</v>
      </c>
      <c r="D85" s="9" t="s">
        <v>12</v>
      </c>
      <c r="E85" s="10">
        <v>65.333333333333329</v>
      </c>
      <c r="F85" s="8">
        <v>-239.08882689999999</v>
      </c>
      <c r="G85" s="20">
        <v>-3670.4852999999998</v>
      </c>
      <c r="H85" s="11">
        <f t="shared" si="0"/>
        <v>-3431.3964730999996</v>
      </c>
    </row>
    <row r="86" spans="1:8" ht="16" x14ac:dyDescent="0.2">
      <c r="A86" s="4">
        <v>11245481</v>
      </c>
      <c r="B86" s="12">
        <v>19</v>
      </c>
      <c r="C86" s="4">
        <v>0</v>
      </c>
      <c r="D86" s="4" t="s">
        <v>8</v>
      </c>
      <c r="E86" s="7">
        <v>71.25</v>
      </c>
      <c r="F86" s="4">
        <v>-1014.382627</v>
      </c>
      <c r="G86" s="19">
        <v>-1297.9481000000001</v>
      </c>
      <c r="H86">
        <f t="shared" si="0"/>
        <v>-283.56547300000011</v>
      </c>
    </row>
    <row r="87" spans="1:8" ht="16" x14ac:dyDescent="0.2">
      <c r="A87" s="4">
        <v>11245825</v>
      </c>
      <c r="B87" s="12">
        <v>11</v>
      </c>
      <c r="C87" s="4">
        <v>3</v>
      </c>
      <c r="D87" s="14" t="s">
        <v>34</v>
      </c>
      <c r="E87" s="7">
        <v>11.166666666666666</v>
      </c>
      <c r="F87" s="4">
        <v>-397.5051363</v>
      </c>
      <c r="G87" s="19">
        <v>531.45678499999997</v>
      </c>
      <c r="H87">
        <f t="shared" ref="H87:H88" si="20">G87-F87</f>
        <v>928.96192129999997</v>
      </c>
    </row>
    <row r="88" spans="1:8" ht="16" x14ac:dyDescent="0.2">
      <c r="A88" s="4">
        <v>11245825</v>
      </c>
      <c r="B88" s="12">
        <v>11</v>
      </c>
      <c r="C88" s="4">
        <v>3</v>
      </c>
      <c r="D88" s="14" t="s">
        <v>10</v>
      </c>
      <c r="E88" s="7">
        <v>11.166666666666666</v>
      </c>
      <c r="F88" s="4">
        <v>-397.5051363</v>
      </c>
      <c r="G88" s="19">
        <v>531.45678499999997</v>
      </c>
      <c r="H88">
        <f t="shared" si="20"/>
        <v>928.96192129999997</v>
      </c>
    </row>
    <row r="89" spans="1:8" ht="16" x14ac:dyDescent="0.2">
      <c r="A89" s="4">
        <v>11245825</v>
      </c>
      <c r="B89" s="12">
        <v>11</v>
      </c>
      <c r="C89" s="4">
        <v>3</v>
      </c>
      <c r="D89" s="14" t="s">
        <v>36</v>
      </c>
      <c r="E89" s="7">
        <v>11.166666666666666</v>
      </c>
      <c r="F89" s="4">
        <v>-397.5051363</v>
      </c>
      <c r="G89" s="19">
        <v>531.45678499999997</v>
      </c>
      <c r="H89">
        <f t="shared" si="0"/>
        <v>928.96192129999997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final_data</vt:lpstr>
      <vt:lpstr>MT_cat</vt:lpstr>
      <vt:lpstr>MT_MutateCate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Roger Watt</cp:lastModifiedBy>
  <cp:revision/>
  <dcterms:created xsi:type="dcterms:W3CDTF">2024-06-19T10:49:57Z</dcterms:created>
  <dcterms:modified xsi:type="dcterms:W3CDTF">2024-06-26T11:59:13Z</dcterms:modified>
  <cp:category/>
  <cp:contentStatus/>
</cp:coreProperties>
</file>