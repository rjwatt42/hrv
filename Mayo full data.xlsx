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4"/>
  <workbookPr/>
  <mc:AlternateContent xmlns:mc="http://schemas.openxmlformats.org/markup-compatibility/2006">
    <mc:Choice Requires="x15">
      <x15ac:absPath xmlns:x15ac="http://schemas.microsoft.com/office/spreadsheetml/2010/11/ac" url="/Users/rogerwatt/Documents/GitHub/hr/"/>
    </mc:Choice>
  </mc:AlternateContent>
  <xr:revisionPtr revIDLastSave="0" documentId="13_ncr:1_{262B4831-86AB-AD4F-B1C6-ABE5A9C155D4}" xr6:coauthVersionLast="47" xr6:coauthVersionMax="47" xr10:uidLastSave="{00000000-0000-0000-0000-000000000000}"/>
  <bookViews>
    <workbookView xWindow="240" yWindow="560" windowWidth="14800" windowHeight="14220" xr2:uid="{00000000-000D-0000-FFFF-FFFF00000000}"/>
  </bookViews>
  <sheets>
    <sheet name="Sheet1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2" i="1"/>
</calcChain>
</file>

<file path=xl/sharedStrings.xml><?xml version="1.0" encoding="utf-8"?>
<sst xmlns="http://schemas.openxmlformats.org/spreadsheetml/2006/main" count="8" uniqueCount="8">
  <si>
    <t>Participant ID</t>
  </si>
  <si>
    <t>HRV</t>
  </si>
  <si>
    <t>SumAnxiety</t>
  </si>
  <si>
    <t>EFT</t>
  </si>
  <si>
    <t>StateAnxiety</t>
  </si>
  <si>
    <t>TraitAnxiety</t>
  </si>
  <si>
    <t>HRVStim</t>
  </si>
  <si>
    <t>HRVEvent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</si>
</sst>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theme="1"/>
      <name val="Aptos Narrow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1" fillId="0" borderId="0" xfId="0" applyNumberFormat="1" applyFont="1"/>
    <xf numFmtId="2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rogerwatt/Documents/GitHub/hr/results.csv" TargetMode="External"/><Relationship Id="rId1" Type="http://schemas.openxmlformats.org/officeDocument/2006/relationships/externalLinkPath" Target="results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s"/>
    </sheetNames>
    <sheetDataSet>
      <sheetData sheetId="0">
        <row r="1">
          <cell r="B1" t="str">
            <v>id</v>
          </cell>
          <cell r="C1" t="str">
            <v>allStimData</v>
          </cell>
          <cell r="D1" t="str">
            <v>allEventData</v>
          </cell>
        </row>
        <row r="2">
          <cell r="B2">
            <v>11166531</v>
          </cell>
          <cell r="C2">
            <v>-840.44423109332195</v>
          </cell>
          <cell r="D2">
            <v>670.412209983107</v>
          </cell>
        </row>
        <row r="3">
          <cell r="B3">
            <v>11171762</v>
          </cell>
          <cell r="C3">
            <v>-1840.1285379979299</v>
          </cell>
          <cell r="D3">
            <v>1129.82611892461</v>
          </cell>
        </row>
        <row r="4">
          <cell r="B4">
            <v>11175804</v>
          </cell>
          <cell r="C4">
            <v>290.529971464901</v>
          </cell>
          <cell r="D4">
            <v>-560.64033468985895</v>
          </cell>
        </row>
        <row r="5">
          <cell r="B5">
            <v>11176497</v>
          </cell>
          <cell r="C5">
            <v>-258.863632579659</v>
          </cell>
          <cell r="D5">
            <v>242.65804248945699</v>
          </cell>
        </row>
        <row r="6">
          <cell r="B6">
            <v>11190614</v>
          </cell>
          <cell r="C6">
            <v>-721.03052251874499</v>
          </cell>
          <cell r="D6">
            <v>-2908.9846982838299</v>
          </cell>
        </row>
        <row r="7">
          <cell r="B7">
            <v>11192680</v>
          </cell>
          <cell r="C7">
            <v>-2026.6985078589</v>
          </cell>
          <cell r="D7">
            <v>-506.29122903153598</v>
          </cell>
        </row>
        <row r="8">
          <cell r="B8">
            <v>11193737</v>
          </cell>
          <cell r="C8">
            <v>518.51364178316703</v>
          </cell>
          <cell r="D8">
            <v>-1920.42079147871</v>
          </cell>
        </row>
        <row r="9">
          <cell r="B9">
            <v>11195915</v>
          </cell>
          <cell r="C9">
            <v>-410.90039539296998</v>
          </cell>
          <cell r="D9">
            <v>-924.32836923299897</v>
          </cell>
        </row>
        <row r="10">
          <cell r="B10">
            <v>11197553</v>
          </cell>
          <cell r="C10">
            <v>-67.008467178989093</v>
          </cell>
          <cell r="D10">
            <v>-734.87307783157996</v>
          </cell>
        </row>
        <row r="11">
          <cell r="B11">
            <v>11208967</v>
          </cell>
          <cell r="C11">
            <v>-706.48636704075398</v>
          </cell>
          <cell r="D11">
            <v>83.183874846609598</v>
          </cell>
        </row>
        <row r="12">
          <cell r="B12">
            <v>11209766</v>
          </cell>
          <cell r="C12">
            <v>-902.95852096011197</v>
          </cell>
          <cell r="D12">
            <v>2505.1949908449001</v>
          </cell>
        </row>
        <row r="13">
          <cell r="B13">
            <v>11210199</v>
          </cell>
          <cell r="C13">
            <v>1336.3227100152101</v>
          </cell>
          <cell r="D13">
            <v>-937.98341191312704</v>
          </cell>
        </row>
        <row r="14">
          <cell r="B14">
            <v>11210883</v>
          </cell>
          <cell r="C14">
            <v>-3470.2683203114898</v>
          </cell>
          <cell r="D14">
            <v>195.03907428606999</v>
          </cell>
        </row>
        <row r="15">
          <cell r="B15">
            <v>11218007</v>
          </cell>
          <cell r="C15">
            <v>599.693150290208</v>
          </cell>
          <cell r="D15">
            <v>-1742.8518431714999</v>
          </cell>
        </row>
        <row r="16">
          <cell r="B16">
            <v>11218900</v>
          </cell>
          <cell r="C16">
            <v>-995.85856321839697</v>
          </cell>
          <cell r="D16">
            <v>1494.8480200215799</v>
          </cell>
        </row>
        <row r="17">
          <cell r="B17">
            <v>11220085</v>
          </cell>
          <cell r="C17">
            <v>784.62088294052501</v>
          </cell>
          <cell r="D17">
            <v>-32.201083724262602</v>
          </cell>
        </row>
        <row r="18">
          <cell r="B18">
            <v>11225336</v>
          </cell>
          <cell r="C18">
            <v>-397.46863064664302</v>
          </cell>
          <cell r="D18">
            <v>5430.8201680146203</v>
          </cell>
        </row>
        <row r="19">
          <cell r="B19">
            <v>11227218</v>
          </cell>
          <cell r="C19">
            <v>-7162.55146642624</v>
          </cell>
          <cell r="D19">
            <v>5793.6144370972997</v>
          </cell>
        </row>
        <row r="20">
          <cell r="B20">
            <v>11233046</v>
          </cell>
          <cell r="C20">
            <v>-128.123802316525</v>
          </cell>
          <cell r="D20">
            <v>-479.05542952573398</v>
          </cell>
        </row>
        <row r="21">
          <cell r="B21">
            <v>11233713</v>
          </cell>
          <cell r="C21">
            <v>697.11590716244302</v>
          </cell>
          <cell r="D21">
            <v>-2903.6198807270198</v>
          </cell>
        </row>
        <row r="22">
          <cell r="B22">
            <v>11234421</v>
          </cell>
          <cell r="C22">
            <v>258.76200217313902</v>
          </cell>
          <cell r="D22">
            <v>-611.506628263523</v>
          </cell>
        </row>
        <row r="23">
          <cell r="B23">
            <v>11238983</v>
          </cell>
          <cell r="C23">
            <v>1207.4651791625199</v>
          </cell>
          <cell r="D23">
            <v>-348.71237115329001</v>
          </cell>
        </row>
        <row r="24">
          <cell r="B24">
            <v>11239500</v>
          </cell>
          <cell r="C24">
            <v>-20419.0962292035</v>
          </cell>
          <cell r="D24">
            <v>12824.7091694394</v>
          </cell>
        </row>
        <row r="25">
          <cell r="B25">
            <v>11241998</v>
          </cell>
          <cell r="C25">
            <v>-1140.63049345081</v>
          </cell>
          <cell r="D25">
            <v>-5355.6055594030804</v>
          </cell>
        </row>
        <row r="26">
          <cell r="B26">
            <v>11242420</v>
          </cell>
          <cell r="C26">
            <v>159.044956155107</v>
          </cell>
          <cell r="D26">
            <v>-1943.65807936224</v>
          </cell>
        </row>
        <row r="27">
          <cell r="B27">
            <v>11242727</v>
          </cell>
          <cell r="C27">
            <v>1681.57122209776</v>
          </cell>
          <cell r="D27">
            <v>-1000.11897359101</v>
          </cell>
        </row>
        <row r="28">
          <cell r="B28">
            <v>11242884</v>
          </cell>
          <cell r="C28">
            <v>-239.088826949224</v>
          </cell>
          <cell r="D28">
            <v>-3670.48531497265</v>
          </cell>
        </row>
        <row r="29">
          <cell r="B29">
            <v>11245481</v>
          </cell>
          <cell r="C29">
            <v>-1014.38262653143</v>
          </cell>
          <cell r="D29">
            <v>-1297.94805020947</v>
          </cell>
        </row>
        <row r="30">
          <cell r="B30">
            <v>11245825</v>
          </cell>
          <cell r="C30">
            <v>-397.50513630535499</v>
          </cell>
          <cell r="D30">
            <v>531.45678546476995</v>
          </cell>
        </row>
        <row r="31">
          <cell r="B31">
            <v>11377155</v>
          </cell>
          <cell r="C31">
            <v>-599.82766550757299</v>
          </cell>
          <cell r="D31">
            <v>1809.73016224246</v>
          </cell>
        </row>
        <row r="32">
          <cell r="B32">
            <v>11377616</v>
          </cell>
          <cell r="C32">
            <v>2702.2820598692101</v>
          </cell>
          <cell r="D32">
            <v>1269.82033775529</v>
          </cell>
        </row>
        <row r="33">
          <cell r="B33">
            <v>11378651</v>
          </cell>
          <cell r="C33">
            <v>-554.65266381978404</v>
          </cell>
          <cell r="D33">
            <v>2389.9469461223598</v>
          </cell>
        </row>
        <row r="34">
          <cell r="B34">
            <v>11154421</v>
          </cell>
          <cell r="C34">
            <v>-337.92106240201701</v>
          </cell>
          <cell r="D34">
            <v>1513.4608801909501</v>
          </cell>
        </row>
        <row r="35">
          <cell r="B35">
            <v>11155314</v>
          </cell>
          <cell r="C35">
            <v>-2185.2920970817099</v>
          </cell>
          <cell r="D35">
            <v>879.28458224495</v>
          </cell>
        </row>
        <row r="36">
          <cell r="B36">
            <v>11177844</v>
          </cell>
          <cell r="C36">
            <v>-1643.2816540845399</v>
          </cell>
          <cell r="D36">
            <v>-1863.7967371919001</v>
          </cell>
        </row>
        <row r="37">
          <cell r="B37">
            <v>11159360</v>
          </cell>
          <cell r="C37">
            <v>-7680.9948049660497</v>
          </cell>
          <cell r="D37">
            <v>8205.5227680461594</v>
          </cell>
        </row>
        <row r="38">
          <cell r="B38">
            <v>11192281</v>
          </cell>
          <cell r="C38">
            <v>8925.5282351656697</v>
          </cell>
          <cell r="D38">
            <v>-12856.089942174</v>
          </cell>
        </row>
        <row r="39">
          <cell r="B39">
            <v>11203326</v>
          </cell>
          <cell r="C39">
            <v>-396.92325855772401</v>
          </cell>
          <cell r="D39">
            <v>1888.4482199762999</v>
          </cell>
        </row>
        <row r="40">
          <cell r="B40">
            <v>11204166</v>
          </cell>
          <cell r="C40">
            <v>-1716.0648298816</v>
          </cell>
          <cell r="D40">
            <v>712.95240283630699</v>
          </cell>
        </row>
        <row r="41">
          <cell r="B41">
            <v>11226380</v>
          </cell>
          <cell r="C41">
            <v>329.21838950971897</v>
          </cell>
          <cell r="D41">
            <v>-238.399619834113</v>
          </cell>
        </row>
        <row r="42">
          <cell r="B42">
            <v>11166016</v>
          </cell>
          <cell r="C42">
            <v>940.81039558767395</v>
          </cell>
          <cell r="D42">
            <v>-555.10440806979204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workbookViewId="0">
      <selection activeCell="H2" sqref="H2"/>
    </sheetView>
  </sheetViews>
  <sheetFormatPr baseColWidth="10" defaultColWidth="8.83203125" defaultRowHeight="15" x14ac:dyDescent="0.2"/>
  <cols>
    <col min="5" max="5" width="9.1640625"/>
  </cols>
  <sheetData>
    <row r="1" spans="1:8" x14ac:dyDescent="0.2">
      <c r="A1" t="s">
        <v>0</v>
      </c>
      <c r="B1" t="s">
        <v>4</v>
      </c>
      <c r="C1" t="s">
        <v>5</v>
      </c>
      <c r="D1" t="s">
        <v>2</v>
      </c>
      <c r="E1" t="s">
        <v>3</v>
      </c>
      <c r="F1" t="s">
        <v>7</v>
      </c>
      <c r="G1" t="s">
        <v>6</v>
      </c>
      <c r="H1" t="s">
        <v>1</v>
      </c>
    </row>
    <row r="2" spans="1:8" x14ac:dyDescent="0.2">
      <c r="A2">
        <v>11154421</v>
      </c>
      <c r="B2">
        <v>40</v>
      </c>
      <c r="C2">
        <v>36</v>
      </c>
      <c r="D2">
        <f>B2+C2</f>
        <v>76</v>
      </c>
      <c r="E2" s="1">
        <v>65.25</v>
      </c>
      <c r="F2">
        <v>1513.4608801909501</v>
      </c>
      <c r="G2">
        <f>VLOOKUP(A2,[1]results!$B:$D,2,FALSE)</f>
        <v>-337.92106240201701</v>
      </c>
      <c r="H2">
        <f>G2-F2</f>
        <v>-1851.3819425929671</v>
      </c>
    </row>
    <row r="3" spans="1:8" x14ac:dyDescent="0.2">
      <c r="A3">
        <v>11155314</v>
      </c>
      <c r="B3">
        <v>64</v>
      </c>
      <c r="C3">
        <v>86</v>
      </c>
      <c r="D3">
        <f t="shared" ref="D3:D42" si="0">B3+C3</f>
        <v>150</v>
      </c>
      <c r="E3" s="2">
        <v>57.58</v>
      </c>
      <c r="F3">
        <v>879.28458224495</v>
      </c>
      <c r="G3">
        <f>VLOOKUP(A3,[1]results!$B:$D,2,FALSE)</f>
        <v>-2185.2920970817099</v>
      </c>
      <c r="H3">
        <f t="shared" ref="H3:H42" si="1">G3-F3</f>
        <v>-3064.5766793266598</v>
      </c>
    </row>
    <row r="4" spans="1:8" x14ac:dyDescent="0.2">
      <c r="A4">
        <v>11159360</v>
      </c>
      <c r="B4">
        <v>38</v>
      </c>
      <c r="C4">
        <v>48</v>
      </c>
      <c r="D4">
        <f t="shared" si="0"/>
        <v>86</v>
      </c>
      <c r="E4" s="2">
        <v>51.75</v>
      </c>
      <c r="F4">
        <v>8205.5227680461594</v>
      </c>
      <c r="G4">
        <f>VLOOKUP(A4,[1]results!$B:$D,2,FALSE)</f>
        <v>-7680.9948049660497</v>
      </c>
      <c r="H4">
        <f t="shared" si="1"/>
        <v>-15886.51757301221</v>
      </c>
    </row>
    <row r="5" spans="1:8" x14ac:dyDescent="0.2">
      <c r="A5">
        <v>11166016</v>
      </c>
      <c r="B5">
        <v>38</v>
      </c>
      <c r="C5">
        <v>50</v>
      </c>
      <c r="D5">
        <f t="shared" si="0"/>
        <v>88</v>
      </c>
      <c r="E5" s="1">
        <v>31.08</v>
      </c>
      <c r="F5">
        <v>-555.10440806979204</v>
      </c>
      <c r="G5">
        <f>VLOOKUP(A5,[1]results!$B:$D,2,FALSE)</f>
        <v>940.81039558767395</v>
      </c>
      <c r="H5">
        <f t="shared" si="1"/>
        <v>1495.9148036574661</v>
      </c>
    </row>
    <row r="6" spans="1:8" x14ac:dyDescent="0.2">
      <c r="A6">
        <v>11166531</v>
      </c>
      <c r="B6">
        <v>20</v>
      </c>
      <c r="C6">
        <v>32</v>
      </c>
      <c r="D6">
        <f t="shared" si="0"/>
        <v>52</v>
      </c>
      <c r="E6" s="2">
        <v>96.83</v>
      </c>
      <c r="F6">
        <v>670.412209983107</v>
      </c>
      <c r="G6">
        <f>VLOOKUP(A6,[1]results!$B:$D,2,FALSE)</f>
        <v>-840.44423109332195</v>
      </c>
      <c r="H6">
        <f t="shared" si="1"/>
        <v>-1510.8564410764288</v>
      </c>
    </row>
    <row r="7" spans="1:8" x14ac:dyDescent="0.2">
      <c r="A7">
        <v>11171762</v>
      </c>
      <c r="B7">
        <v>50</v>
      </c>
      <c r="C7">
        <v>54</v>
      </c>
      <c r="D7">
        <f t="shared" si="0"/>
        <v>104</v>
      </c>
      <c r="E7" s="2">
        <v>31.67</v>
      </c>
      <c r="F7">
        <v>1129.82611892461</v>
      </c>
      <c r="G7">
        <f>VLOOKUP(A7,[1]results!$B:$D,2,FALSE)</f>
        <v>-1840.1285379979299</v>
      </c>
      <c r="H7">
        <f t="shared" si="1"/>
        <v>-2969.9546569225399</v>
      </c>
    </row>
    <row r="8" spans="1:8" x14ac:dyDescent="0.2">
      <c r="A8">
        <v>11175804</v>
      </c>
      <c r="B8">
        <v>26</v>
      </c>
      <c r="C8">
        <v>26</v>
      </c>
      <c r="D8">
        <f t="shared" si="0"/>
        <v>52</v>
      </c>
      <c r="E8" s="2">
        <v>52.166666666666664</v>
      </c>
      <c r="F8">
        <v>-560.64033468985895</v>
      </c>
      <c r="G8">
        <f>VLOOKUP(A8,[1]results!$B:$D,2,FALSE)</f>
        <v>290.529971464901</v>
      </c>
      <c r="H8">
        <f t="shared" si="1"/>
        <v>851.17030615475994</v>
      </c>
    </row>
    <row r="9" spans="1:8" x14ac:dyDescent="0.2">
      <c r="A9">
        <v>11176497</v>
      </c>
      <c r="B9">
        <v>34</v>
      </c>
      <c r="C9">
        <v>34</v>
      </c>
      <c r="D9">
        <f t="shared" si="0"/>
        <v>68</v>
      </c>
      <c r="E9" s="2">
        <v>13.416666666666666</v>
      </c>
      <c r="F9">
        <v>242.65804248945699</v>
      </c>
      <c r="G9">
        <f>VLOOKUP(A9,[1]results!$B:$D,2,FALSE)</f>
        <v>-258.863632579659</v>
      </c>
      <c r="H9">
        <f t="shared" si="1"/>
        <v>-501.52167506911599</v>
      </c>
    </row>
    <row r="10" spans="1:8" x14ac:dyDescent="0.2">
      <c r="A10">
        <v>11177844</v>
      </c>
      <c r="B10">
        <v>56</v>
      </c>
      <c r="C10">
        <v>48</v>
      </c>
      <c r="D10">
        <f t="shared" si="0"/>
        <v>104</v>
      </c>
      <c r="E10" s="2">
        <v>77.083333333333329</v>
      </c>
      <c r="F10">
        <v>-1863.7967371919001</v>
      </c>
      <c r="G10">
        <f>VLOOKUP(A10,[1]results!$B:$D,2,FALSE)</f>
        <v>-1643.2816540845399</v>
      </c>
      <c r="H10">
        <f t="shared" si="1"/>
        <v>220.51508310736017</v>
      </c>
    </row>
    <row r="11" spans="1:8" x14ac:dyDescent="0.2">
      <c r="A11">
        <v>11190614</v>
      </c>
      <c r="B11">
        <v>32</v>
      </c>
      <c r="C11">
        <v>32</v>
      </c>
      <c r="D11">
        <f t="shared" si="0"/>
        <v>64</v>
      </c>
      <c r="E11" s="2">
        <v>77.833333333333329</v>
      </c>
      <c r="F11">
        <v>-2908.9846982838299</v>
      </c>
      <c r="G11">
        <f>VLOOKUP(A11,[1]results!$B:$D,2,FALSE)</f>
        <v>-721.03052251874499</v>
      </c>
      <c r="H11">
        <f t="shared" si="1"/>
        <v>2187.954175765085</v>
      </c>
    </row>
    <row r="12" spans="1:8" x14ac:dyDescent="0.2">
      <c r="A12">
        <v>11192281</v>
      </c>
      <c r="B12">
        <v>30</v>
      </c>
      <c r="C12">
        <v>28</v>
      </c>
      <c r="D12">
        <f t="shared" si="0"/>
        <v>58</v>
      </c>
      <c r="E12" s="2">
        <v>23</v>
      </c>
      <c r="F12">
        <v>-12856.089942174</v>
      </c>
      <c r="G12">
        <f>VLOOKUP(A12,[1]results!$B:$D,2,FALSE)</f>
        <v>8925.5282351656697</v>
      </c>
      <c r="H12">
        <f t="shared" si="1"/>
        <v>21781.618177339667</v>
      </c>
    </row>
    <row r="13" spans="1:8" x14ac:dyDescent="0.2">
      <c r="A13">
        <v>11192680</v>
      </c>
      <c r="B13">
        <v>56</v>
      </c>
      <c r="C13">
        <v>72</v>
      </c>
      <c r="D13">
        <f t="shared" si="0"/>
        <v>128</v>
      </c>
      <c r="E13" s="2">
        <v>23.083333333333332</v>
      </c>
      <c r="F13">
        <v>-506.29122903153598</v>
      </c>
      <c r="G13">
        <f>VLOOKUP(A13,[1]results!$B:$D,2,FALSE)</f>
        <v>-2026.6985078589</v>
      </c>
      <c r="H13">
        <f t="shared" si="1"/>
        <v>-1520.4072788273641</v>
      </c>
    </row>
    <row r="14" spans="1:8" x14ac:dyDescent="0.2">
      <c r="A14">
        <v>11193737</v>
      </c>
      <c r="B14">
        <v>24</v>
      </c>
      <c r="C14">
        <v>28</v>
      </c>
      <c r="D14">
        <f t="shared" si="0"/>
        <v>52</v>
      </c>
      <c r="E14" s="2">
        <v>57.916666666666664</v>
      </c>
      <c r="F14">
        <v>-1920.42079147871</v>
      </c>
      <c r="G14">
        <f>VLOOKUP(A14,[1]results!$B:$D,2,FALSE)</f>
        <v>518.51364178316703</v>
      </c>
      <c r="H14">
        <f t="shared" si="1"/>
        <v>2438.9344332618771</v>
      </c>
    </row>
    <row r="15" spans="1:8" x14ac:dyDescent="0.2">
      <c r="A15">
        <v>11195915</v>
      </c>
      <c r="B15">
        <v>20</v>
      </c>
      <c r="C15">
        <v>22</v>
      </c>
      <c r="D15">
        <f t="shared" si="0"/>
        <v>42</v>
      </c>
      <c r="E15" s="2">
        <v>12.5</v>
      </c>
      <c r="F15">
        <v>-924.32836923299897</v>
      </c>
      <c r="G15">
        <f>VLOOKUP(A15,[1]results!$B:$D,2,FALSE)</f>
        <v>-410.90039539296998</v>
      </c>
      <c r="H15">
        <f t="shared" si="1"/>
        <v>513.42797384002893</v>
      </c>
    </row>
    <row r="16" spans="1:8" x14ac:dyDescent="0.2">
      <c r="A16">
        <v>11197553</v>
      </c>
      <c r="B16">
        <v>38</v>
      </c>
      <c r="C16">
        <v>50</v>
      </c>
      <c r="D16">
        <f t="shared" si="0"/>
        <v>88</v>
      </c>
      <c r="E16" s="2">
        <v>6</v>
      </c>
      <c r="F16">
        <v>-734.87307783157996</v>
      </c>
      <c r="G16">
        <f>VLOOKUP(A16,[1]results!$B:$D,2,FALSE)</f>
        <v>-67.008467178989093</v>
      </c>
      <c r="H16">
        <f t="shared" si="1"/>
        <v>667.86461065259084</v>
      </c>
    </row>
    <row r="17" spans="1:8" x14ac:dyDescent="0.2">
      <c r="A17">
        <v>11203326</v>
      </c>
      <c r="B17">
        <v>22</v>
      </c>
      <c r="C17">
        <v>28</v>
      </c>
      <c r="D17">
        <f t="shared" si="0"/>
        <v>50</v>
      </c>
      <c r="E17" s="2">
        <v>117.58333333333333</v>
      </c>
      <c r="F17">
        <v>1888.4482199762999</v>
      </c>
      <c r="G17">
        <f>VLOOKUP(A17,[1]results!$B:$D,2,FALSE)</f>
        <v>-396.92325855772401</v>
      </c>
      <c r="H17">
        <f t="shared" si="1"/>
        <v>-2285.3714785340239</v>
      </c>
    </row>
    <row r="18" spans="1:8" x14ac:dyDescent="0.2">
      <c r="A18">
        <v>11204166</v>
      </c>
      <c r="B18">
        <v>44</v>
      </c>
      <c r="C18">
        <v>58</v>
      </c>
      <c r="D18">
        <f t="shared" si="0"/>
        <v>102</v>
      </c>
      <c r="E18" s="2">
        <v>86.833333333333329</v>
      </c>
      <c r="F18">
        <v>712.95240283630699</v>
      </c>
      <c r="G18">
        <f>VLOOKUP(A18,[1]results!$B:$D,2,FALSE)</f>
        <v>-1716.0648298816</v>
      </c>
      <c r="H18">
        <f t="shared" si="1"/>
        <v>-2429.0172327179071</v>
      </c>
    </row>
    <row r="19" spans="1:8" x14ac:dyDescent="0.2">
      <c r="A19">
        <v>11208967</v>
      </c>
      <c r="B19">
        <v>34</v>
      </c>
      <c r="C19">
        <v>30</v>
      </c>
      <c r="D19">
        <f t="shared" si="0"/>
        <v>64</v>
      </c>
      <c r="E19" s="2">
        <v>38.166666666666664</v>
      </c>
      <c r="F19">
        <v>83.183874846609598</v>
      </c>
      <c r="G19">
        <f>VLOOKUP(A19,[1]results!$B:$D,2,FALSE)</f>
        <v>-706.48636704075398</v>
      </c>
      <c r="H19">
        <f t="shared" si="1"/>
        <v>-789.67024188736355</v>
      </c>
    </row>
    <row r="20" spans="1:8" x14ac:dyDescent="0.2">
      <c r="A20">
        <v>11209766</v>
      </c>
      <c r="B20">
        <v>34</v>
      </c>
      <c r="C20">
        <v>44</v>
      </c>
      <c r="D20">
        <f t="shared" si="0"/>
        <v>78</v>
      </c>
      <c r="E20" s="2">
        <v>12.5</v>
      </c>
      <c r="F20">
        <v>2505.1949908449001</v>
      </c>
      <c r="G20">
        <f>VLOOKUP(A20,[1]results!$B:$D,2,FALSE)</f>
        <v>-902.95852096011197</v>
      </c>
      <c r="H20">
        <f t="shared" si="1"/>
        <v>-3408.1535118050119</v>
      </c>
    </row>
    <row r="21" spans="1:8" x14ac:dyDescent="0.2">
      <c r="A21">
        <v>11210199</v>
      </c>
      <c r="B21">
        <v>52</v>
      </c>
      <c r="C21">
        <v>52</v>
      </c>
      <c r="D21">
        <f t="shared" si="0"/>
        <v>104</v>
      </c>
      <c r="E21" s="2">
        <v>41.75</v>
      </c>
      <c r="F21">
        <v>-937.98341191312704</v>
      </c>
      <c r="G21">
        <f>VLOOKUP(A21,[1]results!$B:$D,2,FALSE)</f>
        <v>1336.3227100152101</v>
      </c>
      <c r="H21">
        <f t="shared" si="1"/>
        <v>2274.3061219283372</v>
      </c>
    </row>
    <row r="22" spans="1:8" x14ac:dyDescent="0.2">
      <c r="A22">
        <v>11210883</v>
      </c>
      <c r="B22">
        <v>38</v>
      </c>
      <c r="C22">
        <v>42</v>
      </c>
      <c r="D22">
        <f t="shared" si="0"/>
        <v>80</v>
      </c>
      <c r="E22" s="2">
        <v>87.5</v>
      </c>
      <c r="F22">
        <v>195.03907428606999</v>
      </c>
      <c r="G22">
        <f>VLOOKUP(A22,[1]results!$B:$D,2,FALSE)</f>
        <v>-3470.2683203114898</v>
      </c>
      <c r="H22">
        <f t="shared" si="1"/>
        <v>-3665.3073945975598</v>
      </c>
    </row>
    <row r="23" spans="1:8" x14ac:dyDescent="0.2">
      <c r="A23">
        <v>11218007</v>
      </c>
      <c r="B23">
        <v>54</v>
      </c>
      <c r="C23">
        <v>66</v>
      </c>
      <c r="D23">
        <f t="shared" si="0"/>
        <v>120</v>
      </c>
      <c r="E23" s="2">
        <v>63.083333333333336</v>
      </c>
      <c r="F23">
        <v>-1742.8518431714999</v>
      </c>
      <c r="G23">
        <f>VLOOKUP(A23,[1]results!$B:$D,2,FALSE)</f>
        <v>599.693150290208</v>
      </c>
      <c r="H23">
        <f t="shared" si="1"/>
        <v>2342.5449934617081</v>
      </c>
    </row>
    <row r="24" spans="1:8" x14ac:dyDescent="0.2">
      <c r="A24">
        <v>11218900</v>
      </c>
      <c r="B24">
        <v>26</v>
      </c>
      <c r="C24">
        <v>36</v>
      </c>
      <c r="D24">
        <f t="shared" si="0"/>
        <v>62</v>
      </c>
      <c r="E24" s="2">
        <v>24.333333333333332</v>
      </c>
      <c r="F24">
        <v>1494.8480200215799</v>
      </c>
      <c r="G24">
        <f>VLOOKUP(A24,[1]results!$B:$D,2,FALSE)</f>
        <v>-995.85856321839697</v>
      </c>
      <c r="H24">
        <f t="shared" si="1"/>
        <v>-2490.7065832399767</v>
      </c>
    </row>
    <row r="25" spans="1:8" x14ac:dyDescent="0.2">
      <c r="A25">
        <v>11220085</v>
      </c>
      <c r="B25">
        <v>44</v>
      </c>
      <c r="C25">
        <v>46</v>
      </c>
      <c r="D25">
        <f t="shared" si="0"/>
        <v>90</v>
      </c>
      <c r="E25" s="2">
        <v>101.33333333333333</v>
      </c>
      <c r="F25">
        <v>-32.201083724262602</v>
      </c>
      <c r="G25">
        <f>VLOOKUP(A25,[1]results!$B:$D,2,FALSE)</f>
        <v>784.62088294052501</v>
      </c>
      <c r="H25">
        <f t="shared" si="1"/>
        <v>816.82196666478762</v>
      </c>
    </row>
    <row r="26" spans="1:8" x14ac:dyDescent="0.2">
      <c r="A26">
        <v>11225336</v>
      </c>
      <c r="B26">
        <v>52</v>
      </c>
      <c r="C26">
        <v>60</v>
      </c>
      <c r="D26">
        <f t="shared" si="0"/>
        <v>112</v>
      </c>
      <c r="E26" s="2">
        <v>55.25</v>
      </c>
      <c r="F26">
        <v>5430.8201680146203</v>
      </c>
      <c r="G26">
        <f>VLOOKUP(A26,[1]results!$B:$D,2,FALSE)</f>
        <v>-397.46863064664302</v>
      </c>
      <c r="H26">
        <f t="shared" si="1"/>
        <v>-5828.2887986612632</v>
      </c>
    </row>
    <row r="27" spans="1:8" x14ac:dyDescent="0.2">
      <c r="A27">
        <v>11226380</v>
      </c>
      <c r="B27">
        <v>24</v>
      </c>
      <c r="C27">
        <v>26</v>
      </c>
      <c r="D27">
        <f t="shared" si="0"/>
        <v>50</v>
      </c>
      <c r="E27" s="2">
        <v>63.416666666666664</v>
      </c>
      <c r="F27">
        <v>-238.399619834113</v>
      </c>
      <c r="G27">
        <f>VLOOKUP(A27,[1]results!$B:$D,2,FALSE)</f>
        <v>329.21838950971897</v>
      </c>
      <c r="H27">
        <f t="shared" si="1"/>
        <v>567.618009343832</v>
      </c>
    </row>
    <row r="28" spans="1:8" x14ac:dyDescent="0.2">
      <c r="A28">
        <v>11227218</v>
      </c>
      <c r="B28">
        <v>38</v>
      </c>
      <c r="C28">
        <v>34</v>
      </c>
      <c r="D28">
        <f t="shared" si="0"/>
        <v>72</v>
      </c>
      <c r="E28" s="2">
        <v>39.666666666666664</v>
      </c>
      <c r="F28">
        <v>5793.6144370972997</v>
      </c>
      <c r="G28">
        <f>VLOOKUP(A28,[1]results!$B:$D,2,FALSE)</f>
        <v>-7162.55146642624</v>
      </c>
      <c r="H28">
        <f t="shared" si="1"/>
        <v>-12956.165903523539</v>
      </c>
    </row>
    <row r="29" spans="1:8" x14ac:dyDescent="0.2">
      <c r="A29">
        <v>11233046</v>
      </c>
      <c r="B29">
        <v>62</v>
      </c>
      <c r="C29">
        <v>68</v>
      </c>
      <c r="D29">
        <f t="shared" si="0"/>
        <v>130</v>
      </c>
      <c r="E29" s="2">
        <v>34.75</v>
      </c>
      <c r="F29">
        <v>-479.05542952573398</v>
      </c>
      <c r="G29">
        <f>VLOOKUP(A29,[1]results!$B:$D,2,FALSE)</f>
        <v>-128.123802316525</v>
      </c>
      <c r="H29">
        <f t="shared" si="1"/>
        <v>350.93162720920895</v>
      </c>
    </row>
    <row r="30" spans="1:8" x14ac:dyDescent="0.2">
      <c r="A30">
        <v>11233713</v>
      </c>
      <c r="B30">
        <v>44</v>
      </c>
      <c r="C30">
        <v>54</v>
      </c>
      <c r="D30">
        <f t="shared" si="0"/>
        <v>98</v>
      </c>
      <c r="E30" s="2">
        <v>94.416666666666671</v>
      </c>
      <c r="F30">
        <v>-2903.6198807270198</v>
      </c>
      <c r="G30">
        <f>VLOOKUP(A30,[1]results!$B:$D,2,FALSE)</f>
        <v>697.11590716244302</v>
      </c>
      <c r="H30">
        <f t="shared" si="1"/>
        <v>3600.7357878894627</v>
      </c>
    </row>
    <row r="31" spans="1:8" x14ac:dyDescent="0.2">
      <c r="A31">
        <v>11234421</v>
      </c>
      <c r="B31">
        <v>52</v>
      </c>
      <c r="C31">
        <v>66</v>
      </c>
      <c r="D31">
        <f t="shared" si="0"/>
        <v>118</v>
      </c>
      <c r="E31" s="2">
        <v>39.083333333333336</v>
      </c>
      <c r="F31">
        <v>-611.506628263523</v>
      </c>
      <c r="G31">
        <f>VLOOKUP(A31,[1]results!$B:$D,2,FALSE)</f>
        <v>258.76200217313902</v>
      </c>
      <c r="H31">
        <f t="shared" si="1"/>
        <v>870.26863043666208</v>
      </c>
    </row>
    <row r="32" spans="1:8" x14ac:dyDescent="0.2">
      <c r="A32">
        <v>11238983</v>
      </c>
      <c r="B32">
        <v>30</v>
      </c>
      <c r="C32">
        <v>30</v>
      </c>
      <c r="D32">
        <f t="shared" si="0"/>
        <v>60</v>
      </c>
      <c r="E32" s="2">
        <v>53.166666666666664</v>
      </c>
      <c r="F32">
        <v>-348.71237115329001</v>
      </c>
      <c r="G32">
        <f>VLOOKUP(A32,[1]results!$B:$D,2,FALSE)</f>
        <v>1207.4651791625199</v>
      </c>
      <c r="H32">
        <f t="shared" si="1"/>
        <v>1556.1775503158099</v>
      </c>
    </row>
    <row r="33" spans="1:8" x14ac:dyDescent="0.2">
      <c r="A33">
        <v>11239500</v>
      </c>
      <c r="B33">
        <v>34</v>
      </c>
      <c r="C33">
        <v>28</v>
      </c>
      <c r="D33">
        <f t="shared" si="0"/>
        <v>62</v>
      </c>
      <c r="E33" s="2">
        <v>69.333333333333329</v>
      </c>
      <c r="F33">
        <v>12824.7091694394</v>
      </c>
      <c r="G33">
        <f>VLOOKUP(A33,[1]results!$B:$D,2,FALSE)</f>
        <v>-20419.0962292035</v>
      </c>
      <c r="H33">
        <f t="shared" si="1"/>
        <v>-33243.8053986429</v>
      </c>
    </row>
    <row r="34" spans="1:8" x14ac:dyDescent="0.2">
      <c r="A34">
        <v>11241998</v>
      </c>
      <c r="B34">
        <v>34</v>
      </c>
      <c r="C34">
        <v>52</v>
      </c>
      <c r="D34">
        <f t="shared" si="0"/>
        <v>86</v>
      </c>
      <c r="E34" s="2">
        <v>64</v>
      </c>
      <c r="F34">
        <v>-5355.6055594030804</v>
      </c>
      <c r="G34">
        <f>VLOOKUP(A34,[1]results!$B:$D,2,FALSE)</f>
        <v>-1140.63049345081</v>
      </c>
      <c r="H34">
        <f t="shared" si="1"/>
        <v>4214.9750659522706</v>
      </c>
    </row>
    <row r="35" spans="1:8" x14ac:dyDescent="0.2">
      <c r="A35">
        <v>11242420</v>
      </c>
      <c r="B35">
        <v>44</v>
      </c>
      <c r="C35">
        <v>52</v>
      </c>
      <c r="D35">
        <f t="shared" si="0"/>
        <v>96</v>
      </c>
      <c r="E35" s="2">
        <v>12.333333333333334</v>
      </c>
      <c r="F35">
        <v>-1943.65807936224</v>
      </c>
      <c r="G35">
        <f>VLOOKUP(A35,[1]results!$B:$D,2,FALSE)</f>
        <v>159.044956155107</v>
      </c>
      <c r="H35">
        <f t="shared" si="1"/>
        <v>2102.703035517347</v>
      </c>
    </row>
    <row r="36" spans="1:8" x14ac:dyDescent="0.2">
      <c r="A36">
        <v>11242727</v>
      </c>
      <c r="B36">
        <v>36</v>
      </c>
      <c r="C36">
        <v>52</v>
      </c>
      <c r="D36">
        <f t="shared" si="0"/>
        <v>88</v>
      </c>
      <c r="E36" s="2">
        <v>39.333333333333336</v>
      </c>
      <c r="F36">
        <v>-1000.11897359101</v>
      </c>
      <c r="G36">
        <f>VLOOKUP(A36,[1]results!$B:$D,2,FALSE)</f>
        <v>1681.57122209776</v>
      </c>
      <c r="H36">
        <f t="shared" si="1"/>
        <v>2681.69019568877</v>
      </c>
    </row>
    <row r="37" spans="1:8" x14ac:dyDescent="0.2">
      <c r="A37">
        <v>11242884</v>
      </c>
      <c r="B37">
        <v>60</v>
      </c>
      <c r="C37">
        <v>56</v>
      </c>
      <c r="D37">
        <f t="shared" si="0"/>
        <v>116</v>
      </c>
      <c r="E37" s="2">
        <v>65.333333333333329</v>
      </c>
      <c r="F37">
        <v>-3670.48531497265</v>
      </c>
      <c r="G37">
        <f>VLOOKUP(A37,[1]results!$B:$D,2,FALSE)</f>
        <v>-239.088826949224</v>
      </c>
      <c r="H37">
        <f t="shared" si="1"/>
        <v>3431.3964880234262</v>
      </c>
    </row>
    <row r="38" spans="1:8" x14ac:dyDescent="0.2">
      <c r="A38">
        <v>11245481</v>
      </c>
      <c r="B38">
        <v>30</v>
      </c>
      <c r="C38">
        <v>30</v>
      </c>
      <c r="D38">
        <f t="shared" si="0"/>
        <v>60</v>
      </c>
      <c r="E38" s="2">
        <v>71.25</v>
      </c>
      <c r="F38">
        <v>-1297.94805020947</v>
      </c>
      <c r="G38">
        <f>VLOOKUP(A38,[1]results!$B:$D,2,FALSE)</f>
        <v>-1014.38262653143</v>
      </c>
      <c r="H38">
        <f t="shared" si="1"/>
        <v>283.56542367804002</v>
      </c>
    </row>
    <row r="39" spans="1:8" x14ac:dyDescent="0.2">
      <c r="A39">
        <v>11245825</v>
      </c>
      <c r="B39">
        <v>28</v>
      </c>
      <c r="C39">
        <v>28</v>
      </c>
      <c r="D39">
        <f t="shared" si="0"/>
        <v>56</v>
      </c>
      <c r="E39" s="2">
        <v>11.166666666666666</v>
      </c>
      <c r="F39">
        <v>531.45678546476995</v>
      </c>
      <c r="G39">
        <f>VLOOKUP(A39,[1]results!$B:$D,2,FALSE)</f>
        <v>-397.50513630535499</v>
      </c>
      <c r="H39">
        <f t="shared" si="1"/>
        <v>-928.96192177012495</v>
      </c>
    </row>
    <row r="40" spans="1:8" x14ac:dyDescent="0.2">
      <c r="A40">
        <v>11377155</v>
      </c>
      <c r="B40">
        <v>44</v>
      </c>
      <c r="C40">
        <v>60</v>
      </c>
      <c r="D40">
        <f t="shared" si="0"/>
        <v>104</v>
      </c>
      <c r="E40" s="3">
        <v>79</v>
      </c>
      <c r="F40">
        <v>1809.73016224246</v>
      </c>
      <c r="G40">
        <f>VLOOKUP(A40,[1]results!$B:$D,2,FALSE)</f>
        <v>-599.82766550757299</v>
      </c>
      <c r="H40">
        <f t="shared" si="1"/>
        <v>-2409.5578277500331</v>
      </c>
    </row>
    <row r="41" spans="1:8" x14ac:dyDescent="0.2">
      <c r="A41">
        <v>11377616</v>
      </c>
      <c r="B41">
        <v>52</v>
      </c>
      <c r="C41">
        <v>40</v>
      </c>
      <c r="D41">
        <f t="shared" si="0"/>
        <v>92</v>
      </c>
      <c r="E41" s="3">
        <v>39.25</v>
      </c>
      <c r="F41">
        <v>1269.82033775529</v>
      </c>
      <c r="G41">
        <f>VLOOKUP(A41,[1]results!$B:$D,2,FALSE)</f>
        <v>2702.2820598692101</v>
      </c>
      <c r="H41">
        <f t="shared" si="1"/>
        <v>1432.4617221139201</v>
      </c>
    </row>
    <row r="42" spans="1:8" x14ac:dyDescent="0.2">
      <c r="A42">
        <v>11378651</v>
      </c>
      <c r="B42">
        <v>48</v>
      </c>
      <c r="C42">
        <v>38</v>
      </c>
      <c r="D42">
        <f t="shared" si="0"/>
        <v>86</v>
      </c>
      <c r="E42" s="3">
        <v>59</v>
      </c>
      <c r="F42">
        <v>2389.9469461223598</v>
      </c>
      <c r="G42">
        <f>VLOOKUP(A42,[1]results!$B:$D,2,FALSE)</f>
        <v>-554.65266381978404</v>
      </c>
      <c r="H42">
        <f t="shared" si="1"/>
        <v>-2944.5996099421436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Roger Watt</cp:lastModifiedBy>
  <cp:revision/>
  <dcterms:created xsi:type="dcterms:W3CDTF">2024-07-15T13:17:39Z</dcterms:created>
  <dcterms:modified xsi:type="dcterms:W3CDTF">2024-07-18T11:09:12Z</dcterms:modified>
  <cp:category/>
  <cp:contentStatus/>
</cp:coreProperties>
</file>